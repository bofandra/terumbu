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a3e8cad47b48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8ae84ad8af24814"/>
    <x:sheet xmlns:r="http://schemas.openxmlformats.org/officeDocument/2006/relationships" name="RBAC Matrix" sheetId="2" r:id="R36165b0aebb14c9f"/>
    <x:sheet xmlns:r="http://schemas.openxmlformats.org/officeDocument/2006/relationships" name="Role Definitions" sheetId="3" r:id="R2b0c622b8ee6455b"/>
    <x:sheet xmlns:r="http://schemas.openxmlformats.org/officeDocument/2006/relationships" name="Sources" sheetId="4" r:id="Rf351b388b82d49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6"/>
      <x:color rgb="FFFFFFFF"/>
      <x:name val="Carlito"/>
    </x:font>
    <x:font>
      <x:sz val="10"/>
      <x:color rgb="FF45636B"/>
      <x:name val="Carlito"/>
    </x:font>
    <x:font>
      <x:b/>
      <x:sz val="11"/>
      <x:color rgb="FFFFFFFF"/>
      <x:name val="Carlito"/>
    </x:font>
    <x:font>
      <x:b/>
      <x:sz val="11"/>
      <x:color rgb="FF07343F"/>
      <x:name val="Carlito"/>
    </x:font>
    <x:font>
      <x:sz val="10"/>
      <x:color rgb="FF07343F"/>
      <x:name val="Carlito"/>
    </x:font>
    <x:font>
      <x:b/>
      <x:sz val="10"/>
      <x:color rgb="FF07343F"/>
      <x:name val="Carlito"/>
    </x:font>
    <x:font>
      <x:b/>
      <x:sz val="10"/>
      <x:color rgb="FF164E63"/>
      <x:name val="Carlito"/>
    </x:font>
    <x:font>
      <x:sz val="10"/>
      <x:color rgb="FF0B5137"/>
      <x:name val="Carlito"/>
    </x:font>
    <x:font>
      <x:b/>
      <x:sz val="10"/>
      <x:color rgb="FF7A4E00"/>
      <x:name val="Carlito"/>
    </x:font>
    <x:font>
      <x:b/>
      <x:sz val="10"/>
      <x:color rgb="FF0F5132"/>
      <x:name val="Carlito"/>
    </x:font>
    <x:font>
      <x:sz val="10"/>
      <x:color rgb="FF7A1F2A"/>
      <x:name val="Carlito"/>
    </x:font>
    <x:font>
      <x:sz val="10"/>
      <x:color rgb="FF715100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7343F"/>
      </x:patternFill>
    </x:fill>
    <x:fill>
      <x:patternFill patternType="solid">
        <x:fgColor rgb="FF0E6975"/>
      </x:patternFill>
    </x:fill>
    <x:fill>
      <x:patternFill patternType="solid">
        <x:fgColor rgb="FFF3F7F8"/>
      </x:patternFill>
    </x:fill>
    <x:fill>
      <x:patternFill patternType="solid">
        <x:fgColor rgb="FFE7F0FA"/>
      </x:patternFill>
    </x:fill>
    <x:fill>
      <x:patternFill patternType="solid">
        <x:fgColor rgb="FFEAF6EF"/>
      </x:patternFill>
    </x:fill>
    <x:fill>
      <x:patternFill patternType="solid">
        <x:fgColor rgb="FFFFF4D6"/>
      </x:patternFill>
    </x:fill>
    <x:fill>
      <x:patternFill patternType="solid">
        <x:fgColor rgb="FFDDEFE7"/>
      </x:patternFill>
    </x:fill>
    <x:fill>
      <x:patternFill patternType="solid">
        <x:fgColor rgb="FFFBE5E7"/>
      </x:patternFill>
    </x:fill>
    <x:fill>
      <x:patternFill patternType="solid">
        <x:fgColor rgb="FFFFF7DD"/>
      </x:patternFill>
    </x:fill>
  </x:fills>
  <x:borders count="11">
    <x:border/>
    <x:border>
      <x:left style="thin">
        <x:color rgb="FFD7E3E5"/>
      </x:left>
      <x:right style="thin">
        <x:color rgb="FFD7E3E5"/>
      </x:right>
      <x:top style="thin">
        <x:color rgb="FFD7E3E5"/>
      </x:top>
      <x:bottom style="thin">
        <x:color rgb="FFD7E3E5"/>
      </x:bottom>
    </x:border>
    <x:border>
      <x:right style="thin">
        <x:color rgb="FFE3ECEE"/>
      </x:right>
      <x:bottom style="thin">
        <x:color rgb="FFE3ECEE"/>
      </x:bottom>
    </x:border>
    <x:border>
      <x:left style="thin">
        <x:color rgb="FFE3ECEE"/>
      </x:left>
      <x:bottom style="thin">
        <x:color rgb="FFE3ECEE"/>
      </x:bottom>
    </x:border>
    <x:border>
      <x:right style="thin">
        <x:color rgb="FFE3ECEE"/>
      </x:right>
      <x:top style="thin">
        <x:color rgb="FFE3ECEE"/>
      </x:top>
      <x:bottom style="thin">
        <x:color rgb="FFE3ECEE"/>
      </x:bottom>
    </x:border>
    <x:border>
      <x:left style="thin">
        <x:color rgb="FFE3ECEE"/>
      </x:left>
      <x:top style="thin">
        <x:color rgb="FFE3ECEE"/>
      </x:top>
      <x:bottom style="thin">
        <x:color rgb="FFE3ECEE"/>
      </x:bottom>
    </x:border>
    <x:border>
      <x:right style="thin">
        <x:color rgb="FFE3ECEE"/>
      </x:right>
      <x:top style="thin">
        <x:color rgb="FFE3ECEE"/>
      </x:top>
    </x:border>
    <x:border>
      <x:left style="thin">
        <x:color rgb="FFE3ECEE"/>
      </x:left>
      <x:top style="thin">
        <x:color rgb="FFE3ECEE"/>
      </x:top>
    </x:border>
    <x:border>
      <x:left style="thin">
        <x:color rgb="FFE3ECEE"/>
      </x:left>
      <x:right style="thin">
        <x:color rgb="FFE3ECEE"/>
      </x:right>
      <x:bottom style="thin">
        <x:color rgb="FFE3ECEE"/>
      </x:bottom>
    </x:border>
    <x:border>
      <x:left style="thin">
        <x:color rgb="FFE3ECEE"/>
      </x:left>
      <x:right style="thin">
        <x:color rgb="FFE3ECEE"/>
      </x:right>
      <x:top style="thin">
        <x:color rgb="FFE3ECEE"/>
      </x:top>
      <x:bottom style="thin">
        <x:color rgb="FFE3ECEE"/>
      </x:bottom>
    </x:border>
    <x:border>
      <x:left style="thin">
        <x:color rgb="FFE3ECEE"/>
      </x:left>
      <x:right style="thin">
        <x:color rgb="FFE3ECEE"/>
      </x:right>
      <x:top style="thin">
        <x:color rgb="FFE3ECEE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0" borderId="0" xfId="0" applyNumberFormat="1" applyFont="1" applyFill="1" applyBorder="1"/>
    <x:xf numFmtId="0" fontId="6" fillId="3" borderId="1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6" fillId="3" borderId="4" xfId="0" applyNumberFormat="1" applyFont="1" applyFill="1" applyBorder="1" applyAlignment="1">
      <x:alignment horizontal="center"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6" fillId="4" borderId="4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7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6" fillId="3" borderId="4" xfId="0" applyNumberFormat="1" applyFont="1" applyFill="1" applyBorder="1" applyAlignment="1">
      <x:alignment horizontal="center" vertical="top" wrapText="1"/>
    </x:xf>
    <x:xf numFmtId="0" fontId="6" fillId="3" borderId="5" xfId="0" applyNumberFormat="1" applyFont="1" applyFill="1" applyBorder="1" applyAlignment="1">
      <x:alignment horizontal="center" vertical="top" wrapText="1"/>
    </x:xf>
    <x:xf numFmtId="0" fontId="6" fillId="4" borderId="4" xfId="0" applyNumberFormat="1" applyFont="1" applyFill="1" applyBorder="1" applyAlignment="1">
      <x:alignment vertical="top" wrapText="1"/>
    </x:xf>
    <x:xf numFmtId="0" fontId="6" fillId="4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7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7" fillId="5" borderId="8" xfId="0" applyNumberFormat="1" applyFont="1" applyFill="1" applyBorder="1" applyAlignment="1">
      <x:alignment vertical="top" wrapText="1"/>
    </x:xf>
    <x:xf numFmtId="0" fontId="7" fillId="5" borderId="8" xfId="0" applyNumberFormat="1" applyFont="1" applyFill="1" applyBorder="1" applyAlignment="1">
      <x:alignment horizontal="center" vertical="top" wrapText="1"/>
    </x:xf>
    <x:xf numFmtId="0" fontId="7" fillId="5" borderId="8" xfId="0" applyNumberFormat="1" applyFont="1" applyFill="1" applyBorder="1" applyAlignment="1">
      <x:alignment horizontal="center" vertical="center" wrapText="1"/>
    </x:xf>
    <x:xf numFmtId="0" fontId="5" fillId="6" borderId="8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horizontal="center" vertical="top" wrapText="1"/>
    </x:xf>
    <x:xf numFmtId="0" fontId="8" fillId="6" borderId="8" xfId="0" applyNumberFormat="1" applyFont="1" applyFill="1" applyBorder="1" applyAlignment="1">
      <x:alignment horizontal="center" vertical="center" wrapText="1"/>
    </x:xf>
    <x:xf numFmtId="0" fontId="5" fillId="5" borderId="9" xfId="0" applyNumberFormat="1" applyFont="1" applyFill="1" applyBorder="1" applyAlignment="1">
      <x:alignment vertical="top" wrapText="1"/>
    </x:xf>
    <x:xf numFmtId="0" fontId="7" fillId="5" borderId="9" xfId="0" applyNumberFormat="1" applyFont="1" applyFill="1" applyBorder="1" applyAlignment="1">
      <x:alignment vertical="top" wrapText="1"/>
    </x:xf>
    <x:xf numFmtId="0" fontId="7" fillId="5" borderId="9" xfId="0" applyNumberFormat="1" applyFont="1" applyFill="1" applyBorder="1" applyAlignment="1">
      <x:alignment horizontal="center" vertical="top" wrapText="1"/>
    </x:xf>
    <x:xf numFmtId="0" fontId="7" fillId="5" borderId="9" xfId="0" applyNumberFormat="1" applyFont="1" applyFill="1" applyBorder="1" applyAlignment="1">
      <x:alignment horizontal="center" vertical="center" wrapText="1"/>
    </x:xf>
    <x:xf numFmtId="0" fontId="5" fillId="6" borderId="9" xfId="0" applyNumberFormat="1" applyFont="1" applyFill="1" applyBorder="1" applyAlignment="1">
      <x:alignment vertical="top" wrapText="1"/>
    </x:xf>
    <x:xf numFmtId="0" fontId="8" fillId="6" borderId="9" xfId="0" applyNumberFormat="1" applyFont="1" applyFill="1" applyBorder="1" applyAlignment="1">
      <x:alignment vertical="top" wrapText="1"/>
    </x:xf>
    <x:xf numFmtId="0" fontId="8" fillId="6" borderId="9" xfId="0" applyNumberFormat="1" applyFont="1" applyFill="1" applyBorder="1" applyAlignment="1">
      <x:alignment horizontal="center" vertical="top" wrapText="1"/>
    </x:xf>
    <x:xf numFmtId="0" fontId="8" fillId="6" borderId="9" xfId="0" applyNumberFormat="1" applyFont="1" applyFill="1" applyBorder="1" applyAlignment="1">
      <x:alignment horizontal="center" vertical="center" wrapText="1"/>
    </x:xf>
    <x:xf numFmtId="0" fontId="5" fillId="7" borderId="9" xfId="0" applyNumberFormat="1" applyFont="1" applyFill="1" applyBorder="1" applyAlignment="1">
      <x:alignment vertical="top" wrapText="1"/>
    </x:xf>
    <x:xf numFmtId="0" fontId="9" fillId="7" borderId="9" xfId="0" applyNumberFormat="1" applyFont="1" applyFill="1" applyBorder="1" applyAlignment="1">
      <x:alignment vertical="top" wrapText="1"/>
    </x:xf>
    <x:xf numFmtId="0" fontId="9" fillId="7" borderId="9" xfId="0" applyNumberFormat="1" applyFont="1" applyFill="1" applyBorder="1" applyAlignment="1">
      <x:alignment horizontal="center" vertical="top" wrapText="1"/>
    </x:xf>
    <x:xf numFmtId="0" fontId="9" fillId="7" borderId="9" xfId="0" applyNumberFormat="1" applyFont="1" applyFill="1" applyBorder="1" applyAlignment="1">
      <x:alignment horizontal="center" vertical="center" wrapText="1"/>
    </x:xf>
    <x:xf numFmtId="0" fontId="5" fillId="8" borderId="9" xfId="0" applyNumberFormat="1" applyFont="1" applyFill="1" applyBorder="1" applyAlignment="1">
      <x:alignment vertical="top" wrapText="1"/>
    </x:xf>
    <x:xf numFmtId="0" fontId="10" fillId="8" borderId="9" xfId="0" applyNumberFormat="1" applyFont="1" applyFill="1" applyBorder="1" applyAlignment="1">
      <x:alignment vertical="top" wrapText="1"/>
    </x:xf>
    <x:xf numFmtId="0" fontId="10" fillId="8" borderId="9" xfId="0" applyNumberFormat="1" applyFont="1" applyFill="1" applyBorder="1" applyAlignment="1">
      <x:alignment horizontal="center" vertical="top" wrapText="1"/>
    </x:xf>
    <x:xf numFmtId="0" fontId="10" fillId="8" borderId="9" xfId="0" applyNumberFormat="1" applyFont="1" applyFill="1" applyBorder="1" applyAlignment="1">
      <x:alignment horizontal="center" vertical="center" wrapText="1"/>
    </x:xf>
    <x:xf numFmtId="0" fontId="5" fillId="9" borderId="9" xfId="0" applyNumberFormat="1" applyFont="1" applyFill="1" applyBorder="1" applyAlignment="1">
      <x:alignment vertical="top" wrapText="1"/>
    </x:xf>
    <x:xf numFmtId="0" fontId="11" fillId="9" borderId="9" xfId="0" applyNumberFormat="1" applyFont="1" applyFill="1" applyBorder="1" applyAlignment="1">
      <x:alignment vertical="top" wrapText="1"/>
    </x:xf>
    <x:xf numFmtId="0" fontId="11" fillId="9" borderId="9" xfId="0" applyNumberFormat="1" applyFont="1" applyFill="1" applyBorder="1" applyAlignment="1">
      <x:alignment horizontal="center" vertical="top" wrapText="1"/>
    </x:xf>
    <x:xf numFmtId="0" fontId="11" fillId="9" borderId="9" xfId="0" applyNumberFormat="1" applyFont="1" applyFill="1" applyBorder="1" applyAlignment="1">
      <x:alignment horizontal="center" vertical="center" wrapText="1"/>
    </x:xf>
    <x:xf numFmtId="0" fontId="5" fillId="10" borderId="9" xfId="0" applyNumberFormat="1" applyFont="1" applyFill="1" applyBorder="1" applyAlignment="1">
      <x:alignment vertical="top" wrapText="1"/>
    </x:xf>
    <x:xf numFmtId="0" fontId="12" fillId="10" borderId="9" xfId="0" applyNumberFormat="1" applyFont="1" applyFill="1" applyBorder="1" applyAlignment="1">
      <x:alignment vertical="top" wrapText="1"/>
    </x:xf>
    <x:xf numFmtId="0" fontId="12" fillId="10" borderId="9" xfId="0" applyNumberFormat="1" applyFont="1" applyFill="1" applyBorder="1" applyAlignment="1">
      <x:alignment horizontal="center" vertical="top" wrapText="1"/>
    </x:xf>
    <x:xf numFmtId="0" fontId="12" fillId="10" borderId="9" xfId="0" applyNumberFormat="1" applyFont="1" applyFill="1" applyBorder="1" applyAlignment="1">
      <x:alignment horizontal="center"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7" fillId="5" borderId="10" xfId="0" applyNumberFormat="1" applyFont="1" applyFill="1" applyBorder="1" applyAlignment="1">
      <x:alignment vertical="top" wrapText="1"/>
    </x:xf>
    <x:xf numFmtId="0" fontId="7" fillId="5" borderId="10" xfId="0" applyNumberFormat="1" applyFont="1" applyFill="1" applyBorder="1" applyAlignment="1">
      <x:alignment horizontal="center" vertical="top" wrapText="1"/>
    </x:xf>
    <x:xf numFmtId="0" fontId="7" fillId="5" borderId="10" xfId="0" applyNumberFormat="1" applyFont="1" applyFill="1" applyBorder="1" applyAlignment="1">
      <x:alignment horizontal="center" vertical="center" wrapText="1"/>
    </x:xf>
    <x:xf numFmtId="0" fontId="5" fillId="6" borderId="10" xfId="0" applyNumberFormat="1" applyFont="1" applyFill="1" applyBorder="1" applyAlignment="1">
      <x:alignment vertical="top" wrapText="1"/>
    </x:xf>
    <x:xf numFmtId="0" fontId="8" fillId="6" borderId="10" xfId="0" applyNumberFormat="1" applyFont="1" applyFill="1" applyBorder="1" applyAlignment="1">
      <x:alignment vertical="top" wrapText="1"/>
    </x:xf>
    <x:xf numFmtId="0" fontId="8" fillId="6" borderId="10" xfId="0" applyNumberFormat="1" applyFont="1" applyFill="1" applyBorder="1" applyAlignment="1">
      <x:alignment horizontal="center" vertical="top" wrapText="1"/>
    </x:xf>
    <x:xf numFmtId="0" fontId="8" fillId="6" borderId="10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vertical="top" wrapText="1"/>
    </x:xf>
    <x:xf numFmtId="0" fontId="5" fillId="4" borderId="4" xfId="0" applyNumberFormat="1" applyFont="1" applyFill="1" applyBorder="1" applyAlignment="1">
      <x:alignment vertical="top" wrapText="1"/>
    </x:xf>
    <x:xf numFmtId="0" fontId="5" fillId="4" borderId="6" xfId="0" applyNumberFormat="1" applyFont="1" applyFill="1" applyBorder="1" applyAlignment="1">
      <x:alignment vertical="top" wrapText="1"/>
    </x:xf>
    <x:xf numFmtId="0" fontId="6" fillId="4" borderId="2" xfId="0" applyNumberFormat="1" applyFont="1" applyFill="1" applyBorder="1" applyAlignment="1">
      <x:alignment vertical="top" wrapText="1"/>
    </x:xf>
    <x:xf numFmtId="0" fontId="6" fillId="4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fccade9f814340" /><Relationship Type="http://schemas.openxmlformats.org/officeDocument/2006/relationships/theme" Target="/xl/theme/theme1.xml" Id="Rf6548498a4a546a1" /><Relationship Type="http://schemas.openxmlformats.org/officeDocument/2006/relationships/sharedStrings" Target="/xl/sharedStrings.xml" Id="R90b9c0a0f76e40b4" /><Relationship Type="http://schemas.openxmlformats.org/officeDocument/2006/relationships/worksheet" Target="/xl/worksheets/sheet1.xml" Id="R68ae84ad8af24814" /><Relationship Type="http://schemas.openxmlformats.org/officeDocument/2006/relationships/worksheet" Target="/xl/worksheets/sheet2.xml" Id="R36165b0aebb14c9f" /><Relationship Type="http://schemas.openxmlformats.org/officeDocument/2006/relationships/worksheet" Target="/xl/worksheets/sheet3.xml" Id="R2b0c622b8ee6455b" /><Relationship Type="http://schemas.openxmlformats.org/officeDocument/2006/relationships/worksheet" Target="/xl/worksheets/sheet4.xml" Id="Rf351b388b82d49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</x:cols>
  <x:sheetData>
    <x:row r="1">
      <x:c r="A1" s="4" t="str">
        <x:v>Terumbu.eco RBAC Feature Matrix</x:v>
      </x:c>
    </x:row>
    <x:row r="2">
      <x:c r="A2" s="6" t="str">
        <x:v>Generated 2026-07-05. Based on repository references, role guides, route guards, and server actions.</x:v>
      </x:c>
    </x:row>
    <x:row r="4">
      <x:c r="A4" s="36" t="str">
        <x:v>Workbook scope</x:v>
      </x:c>
      <x:c r="B4" s="37" t="str">
        <x:v>Feature access by role, implementation status, gaps, and notes.</x:v>
      </x:c>
    </x:row>
    <x:row r="5">
      <x:c r="A5" s="38" t="str">
        <x:v>Role model</x:v>
      </x:c>
      <x:c r="B5" s="39" t="str">
        <x:v>Top-level roles: guest, user, corporate_admin, partner, admin. Corporate sub-roles are account-scoped permissions in corporate_permissions.</x:v>
      </x:c>
    </x:row>
    <x:row r="6">
      <x:c r="A6" s="38"/>
      <x:c r="B6" s="39"/>
    </x:row>
    <x:row r="7">
      <x:c r="A7" s="40" t="str">
        <x:v>Implementation status</x:v>
      </x:c>
      <x:c r="B7" s="41" t="str">
        <x:v>Count</x:v>
      </x:c>
    </x:row>
    <x:row r="8">
      <x:c r="A8" s="46" t="str">
        <x:v>Implemented</x:v>
      </x:c>
      <x:c r="B8" s="39" t="n">
        <x:f>COUNTIF('RBAC Matrix'!$N$5:$N$39,"Implemented")</x:f>
        <x:v>2</x:v>
      </x:c>
    </x:row>
    <x:row r="9">
      <x:c r="A9" s="46" t="str">
        <x:v>Mostly implemented</x:v>
      </x:c>
      <x:c r="B9" s="39" t="n">
        <x:f>COUNTIF('RBAC Matrix'!$N$5:$N$39,"Mostly implemented")</x:f>
        <x:v>27</x:v>
      </x:c>
    </x:row>
    <x:row r="10">
      <x:c r="A10" s="46" t="str">
        <x:v>Partial</x:v>
      </x:c>
      <x:c r="B10" s="39" t="n">
        <x:f>COUNTIF('RBAC Matrix'!$N$5:$N$39,"Partial")</x:f>
        <x:v>6</x:v>
      </x:c>
    </x:row>
    <x:row r="11">
      <x:c r="A11" s="46" t="str">
        <x:v>Not implemented</x:v>
      </x:c>
      <x:c r="B11" s="39" t="n">
        <x:f>COUNTIF('RBAC Matrix'!$N$5:$N$39,"Not implemented")</x:f>
        <x:v>0</x:v>
      </x:c>
    </x:row>
    <x:row r="12">
      <x:c r="A12" s="38"/>
      <x:c r="B12" s="39"/>
    </x:row>
    <x:row r="13">
      <x:c r="A13" s="42" t="str">
        <x:v>Key RBAC findings</x:v>
      </x:c>
      <x:c r="B13" s="43" t="str"/>
    </x:row>
    <x:row r="14">
      <x:c r="A14" s="38" t="str">
        <x:v>1</x:v>
      </x:c>
      <x:c r="B14" s="39" t="str">
        <x:v>Corporate access is account-scoped through corporate_permissions; the top-level corporate_admin role is only part of the access story.</x:v>
      </x:c>
    </x:row>
    <x:row r="15">
      <x:c r="A15" s="38" t="str">
        <x:v>2</x:v>
      </x:c>
      <x:c r="B15" s="39" t="str">
        <x:v>Admin and partner route groups are strongly guarded by requireRole, while dashboard routes are available to every authenticated role for own data.</x:v>
      </x:c>
    </x:row>
    <x:row r="16">
      <x:c r="A16" s="38" t="str">
        <x:v>3</x:v>
      </x:c>
      <x:c r="B16" s="39" t="str">
        <x:v>Corporate report workflow is the most granular implemented permission split; wider corporate/partner CRUD permissions need hardening.</x:v>
      </x:c>
    </x:row>
    <x:row r="17">
      <x:c r="A17" s="44" t="str">
        <x:v>4</x:v>
      </x:c>
      <x:c r="B17" s="45" t="str">
        <x:v>The E2E reference expects explicit forbidden redirects, but requireRole currently redirects to the user's default authenticated path.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28" hidden="0" customWidth="1"/>
    <x:col min="4" max="4" width="18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18" hidden="0" customWidth="1"/>
    <x:col min="10" max="10" width="19" hidden="0" customWidth="1"/>
    <x:col min="11" max="11" width="16" hidden="0" customWidth="1"/>
    <x:col min="12" max="12" width="18" hidden="0" customWidth="1"/>
    <x:col min="13" max="13" width="18" hidden="0" customWidth="1"/>
    <x:col min="14" max="14" width="20" hidden="0" customWidth="1"/>
    <x:col min="15" max="15" width="46" hidden="0" customWidth="1"/>
    <x:col min="16" max="16" width="42" hidden="0" customWidth="1"/>
    <x:col min="17" max="17" width="38" hidden="0" customWidth="1"/>
    <x:col min="18" max="18" width="38" hidden="0" customWidth="1"/>
  </x:cols>
  <x:sheetData>
    <x:row r="1">
      <x:c r="A1" s="4" t="str">
        <x:v>RBAC Matrix</x:v>
      </x:c>
    </x:row>
    <x:row r="2">
      <x:c r="A2" s="6" t="str">
        <x:v>Role cells describe practical access, not only navigation visibility. Corporate sub-role columns are based on corporate_permissions and report capabilities.</x:v>
      </x:c>
    </x:row>
    <x:row r="4">
      <x:c r="A4" s="12" t="str">
        <x:v>Feature Area</x:v>
      </x:c>
      <x:c r="B4" s="12" t="str">
        <x:v>Feature / Workflow</x:v>
      </x:c>
      <x:c r="C4" s="12" t="str">
        <x:v>Route(s)</x:v>
      </x:c>
      <x:c r="D4" s="12" t="str">
        <x:v>Reference Status</x:v>
      </x:c>
      <x:c r="E4" s="12" t="str">
        <x:v>Guest</x:v>
      </x:c>
      <x:c r="F4" s="12" t="str">
        <x:v>User</x:v>
      </x:c>
      <x:c r="G4" s="12" t="str">
        <x:v>Corporate Admin / ESG Manager</x:v>
      </x:c>
      <x:c r="H4" s="12" t="str">
        <x:v>Finance Reviewer</x:v>
      </x:c>
      <x:c r="I4" s="12" t="str">
        <x:v>Executive Viewer</x:v>
      </x:c>
      <x:c r="J4" s="12" t="str">
        <x:v>Employee Engagement</x:v>
      </x:c>
      <x:c r="K4" s="12" t="str">
        <x:v>Auditor</x:v>
      </x:c>
      <x:c r="L4" s="12" t="str">
        <x:v>Partner</x:v>
      </x:c>
      <x:c r="M4" s="12" t="str">
        <x:v>Admin</x:v>
      </x:c>
      <x:c r="N4" s="12" t="str">
        <x:v>Already implemented?</x:v>
      </x:c>
      <x:c r="O4" s="12" t="str">
        <x:v>Implementation gaps</x:v>
      </x:c>
      <x:c r="P4" s="12" t="str">
        <x:v>Notes</x:v>
      </x:c>
      <x:c r="Q4" s="12" t="str">
        <x:v>Source references</x:v>
      </x:c>
      <x:c r="R4" s="12" t="str">
        <x:v>Implementation evidence</x:v>
      </x:c>
    </x:row>
    <x:row r="5">
      <x:c r="A5" s="99" t="str">
        <x:v>Public</x:v>
      </x:c>
      <x:c r="B5" s="53" t="str">
        <x:v>Homepage and public discovery</x:v>
      </x:c>
      <x:c r="C5" s="53" t="str">
        <x:v>/</x:v>
      </x:c>
      <x:c r="D5" s="53" t="str">
        <x:v>Mostly meets</x:v>
      </x:c>
      <x:c r="E5" s="63" t="str">
        <x:v>Allow</x:v>
      </x:c>
      <x:c r="F5" s="63" t="str">
        <x:v>Allow</x:v>
      </x:c>
      <x:c r="G5" s="63" t="str">
        <x:v>Allow</x:v>
      </x:c>
      <x:c r="H5" s="63" t="str">
        <x:v>Allow</x:v>
      </x:c>
      <x:c r="I5" s="63" t="str">
        <x:v>Allow</x:v>
      </x:c>
      <x:c r="J5" s="63" t="str">
        <x:v>Allow</x:v>
      </x:c>
      <x:c r="K5" s="63" t="str">
        <x:v>Allow</x:v>
      </x:c>
      <x:c r="L5" s="63" t="str">
        <x:v>Allow</x:v>
      </x:c>
      <x:c r="M5" s="63" t="str">
        <x:v>Allow</x:v>
      </x:c>
      <x:c r="N5" s="59" t="str">
        <x:v>Mostly implemented</x:v>
      </x:c>
      <x:c r="O5" s="53" t="str">
        <x:v>No real hero video asset; OpenStreetMap retained instead of Mapbox; limited seeded expedition/logo/before-after media.</x:v>
      </x:c>
      <x:c r="P5" s="53" t="str">
        <x:v>Public conversion surface for all roles.</x:v>
      </x:c>
      <x:c r="Q5" s="53" t="str">
        <x:v>references/1. review-homapage.md; DEVELOPMENT_PLAN.md</x:v>
      </x:c>
      <x:c r="R5" s="37" t="str">
        <x:v>src/app/(public)/page.tsx; src/components/impact-map-preview.tsx; src/components/partner-logo-strip.tsx</x:v>
      </x:c>
    </x:row>
    <x:row r="6">
      <x:c r="A6" s="42" t="str">
        <x:v>Public</x:v>
      </x:c>
      <x:c r="B6" s="54" t="str">
        <x:v>Campaign browsing, detail, trust, updates, evidence, and impact calculator</x:v>
      </x:c>
      <x:c r="C6" s="54" t="str">
        <x:v>/campaigns; /campaigns/[slug]; /campaigns/[slug]/updates/[updateId]</x:v>
      </x:c>
      <x:c r="D6" s="54" t="str">
        <x:v>Meets / mostly meets</x:v>
      </x:c>
      <x:c r="E6" s="71" t="str">
        <x:v>Allow</x:v>
      </x:c>
      <x:c r="F6" s="71" t="str">
        <x:v>Allow</x:v>
      </x:c>
      <x:c r="G6" s="71" t="str">
        <x:v>Allow</x:v>
      </x:c>
      <x:c r="H6" s="71" t="str">
        <x:v>Allow</x:v>
      </x:c>
      <x:c r="I6" s="71" t="str">
        <x:v>Allow</x:v>
      </x:c>
      <x:c r="J6" s="71" t="str">
        <x:v>Allow</x:v>
      </x:c>
      <x:c r="K6" s="71" t="str">
        <x:v>Allow</x:v>
      </x:c>
      <x:c r="L6" s="71" t="str">
        <x:v>Allow</x:v>
      </x:c>
      <x:c r="M6" s="71" t="str">
        <x:v>Allow</x:v>
      </x:c>
      <x:c r="N6" s="67" t="str">
        <x:v>Mostly implemented</x:v>
      </x:c>
      <x:c r="O6" s="54" t="str">
        <x:v>Persist campaign media galleries, timeline phases, budget line items, organization team members, and richer map layers.</x:v>
      </x:c>
      <x:c r="P6" s="54" t="str">
        <x:v>Public read-only surface; admin/partner mutations happen in their workspaces.</x:v>
      </x:c>
      <x:c r="Q6" s="54" t="str">
        <x:v>references/2. review-campaign-detail.md; references/8. end-to-end-test-case.md</x:v>
      </x:c>
      <x:c r="R6" s="39" t="str">
        <x:v>src/app/(public)/campaigns/[slug]/page.tsx; src/components/campaign-donation-card.tsx; src/components/campaign-updates-evidence.tsx</x:v>
      </x:c>
    </x:row>
    <x:row r="7">
      <x:c r="A7" s="42" t="str">
        <x:v>Payments</x:v>
      </x:c>
      <x:c r="B7" s="54" t="str">
        <x:v>One-time donation checkout and paid donation record</x:v>
      </x:c>
      <x:c r="C7" s="54" t="str">
        <x:v>/checkout/donation; /checkout/success</x:v>
      </x:c>
      <x:c r="D7" s="54" t="str">
        <x:v>Functional demo flow</x:v>
      </x:c>
      <x:c r="E7" s="71" t="str">
        <x:v>Allow</x:v>
      </x:c>
      <x:c r="F7" s="71" t="str">
        <x:v>Allow</x:v>
      </x:c>
      <x:c r="G7" s="71" t="str">
        <x:v>Allow as person</x:v>
      </x:c>
      <x:c r="H7" s="71" t="str">
        <x:v>Allow as person</x:v>
      </x:c>
      <x:c r="I7" s="71" t="str">
        <x:v>Allow as person</x:v>
      </x:c>
      <x:c r="J7" s="71" t="str">
        <x:v>Allow as person</x:v>
      </x:c>
      <x:c r="K7" s="71" t="str">
        <x:v>Allow as person</x:v>
      </x:c>
      <x:c r="L7" s="71" t="str">
        <x:v>Allow as person</x:v>
      </x:c>
      <x:c r="M7" s="71" t="str">
        <x:v>Allow as person</x:v>
      </x:c>
      <x:c r="N7" s="67" t="str">
        <x:v>Mostly implemented</x:v>
      </x:c>
      <x:c r="O7" s="54" t="str">
        <x:v>Demo payment provider only; production provider, webhook signature verification, and settlement/reconciliation depth remain.</x:v>
      </x:c>
      <x:c r="P7" s="54" t="str">
        <x:v>Guest checkout is allowed; signed-in donations can link to dashboard/passport records.</x:v>
      </x:c>
      <x:c r="Q7" s="54" t="str">
        <x:v>references/8. end-to-end-test-case.md; TERUMBU_IMPLEMENTATION_PLAN_COMPARISON.md</x:v>
      </x:c>
      <x:c r="R7" s="39" t="str">
        <x:v>src/lib/checkout-actions.ts; src/app/checkout/donation/page.tsx; src/app/api/webhooks/demo-gateway/route.ts</x:v>
      </x:c>
    </x:row>
    <x:row r="8">
      <x:c r="A8" s="42" t="str">
        <x:v>Payments</x:v>
      </x:c>
      <x:c r="B8" s="54" t="str">
        <x:v>Monthly contribution intent, subscriptions, and billing controls</x:v>
      </x:c>
      <x:c r="C8" s="54" t="str">
        <x:v>/checkout/donation; /dashboard/donations</x:v>
      </x:c>
      <x:c r="D8" s="54" t="str">
        <x:v>Mostly meets / partial</x:v>
      </x:c>
      <x:c r="E8" s="71" t="str">
        <x:v>Start only</x:v>
      </x:c>
      <x:c r="F8" s="71" t="str">
        <x:v>Own/manage</x:v>
      </x:c>
      <x:c r="G8" s="71" t="str">
        <x:v>Own/manage</x:v>
      </x:c>
      <x:c r="H8" s="71" t="str">
        <x:v>Own/manage</x:v>
      </x:c>
      <x:c r="I8" s="71" t="str">
        <x:v>Own/manage</x:v>
      </x:c>
      <x:c r="J8" s="71" t="str">
        <x:v>Own/manage</x:v>
      </x:c>
      <x:c r="K8" s="71" t="str">
        <x:v>Own/manage</x:v>
      </x:c>
      <x:c r="L8" s="71" t="str">
        <x:v>Own/manage</x:v>
      </x:c>
      <x:c r="M8" s="71" t="str">
        <x:v>Own/manage + reconcile</x:v>
      </x:c>
      <x:c r="N8" s="75" t="str">
        <x:v>Partial</x:v>
      </x:c>
      <x:c r="O8" s="54" t="str">
        <x:v>Recurring billing scheduler/provider integration, durable subscription charge collection, provider-backed payment methods, and email preferences are not production-grade.</x:v>
      </x:c>
      <x:c r="P8" s="54" t="str">
        <x:v>Billing actions use requireUser; admin reconciliation is separate from user self-service.</x:v>
      </x:c>
      <x:c r="Q8" s="54" t="str">
        <x:v>references/2. review-campaign-detail.md; references/3. review-user-dashboard.md</x:v>
      </x:c>
      <x:c r="R8" s="39" t="str">
        <x:v>src/lib/billing-actions.ts; src/lib/checkout-actions.ts; src/lib/payment-workflows.ts</x:v>
      </x:c>
    </x:row>
    <x:row r="9">
      <x:c r="A9" s="42" t="str">
        <x:v>Payments</x:v>
      </x:c>
      <x:c r="B9" s="54" t="str">
        <x:v>Sponsor-a-coral donation and sponsored ecosystem record</x:v>
      </x:c>
      <x:c r="C9" s="54" t="str">
        <x:v>/checkout/donation?intent=coral; /dashboard/corals; /dashboard/passport</x:v>
      </x:c>
      <x:c r="D9" s="54" t="str">
        <x:v>Meets</x:v>
      </x:c>
      <x:c r="E9" s="71" t="str">
        <x:v>Allow</x:v>
      </x:c>
      <x:c r="F9" s="71" t="str">
        <x:v>Own record</x:v>
      </x:c>
      <x:c r="G9" s="71" t="str">
        <x:v>Own record</x:v>
      </x:c>
      <x:c r="H9" s="71" t="str">
        <x:v>Own record</x:v>
      </x:c>
      <x:c r="I9" s="71" t="str">
        <x:v>Own record</x:v>
      </x:c>
      <x:c r="J9" s="71" t="str">
        <x:v>Own record</x:v>
      </x:c>
      <x:c r="K9" s="71" t="str">
        <x:v>Own record</x:v>
      </x:c>
      <x:c r="L9" s="71" t="str">
        <x:v>Own record</x:v>
      </x:c>
      <x:c r="M9" s="71" t="str">
        <x:v>Own record</x:v>
      </x:c>
      <x:c r="N9" s="79" t="str">
        <x:v>Implemented</x:v>
      </x:c>
      <x:c r="O9" s="54" t="str">
        <x:v>Broader non-coral typed records and richer monitoring/evidence history remain future work.</x:v>
      </x:c>
      <x:c r="P9" s="54" t="str">
        <x:v>Paid coral sponsorship creates dashboard and passport-visible sponsored ecosystem records.</x:v>
      </x:c>
      <x:c r="Q9" s="54" t="str">
        <x:v>references/2. review-campaign-detail.md; references/5. review-impact-passport.md</x:v>
      </x:c>
      <x:c r="R9" s="39" t="str">
        <x:v>src/lib/checkout-actions.ts; src/db/schema.ts; src/app/dashboard/corals/page.tsx</x:v>
      </x:c>
    </x:row>
    <x:row r="10">
      <x:c r="A10" s="42" t="str">
        <x:v>Retention</x:v>
      </x:c>
      <x:c r="B10" s="54" t="str">
        <x:v>Save/follow campaigns and notification preferences</x:v>
      </x:c>
      <x:c r="C10" s="54" t="str">
        <x:v>/campaigns; /dashboard/saved; /dashboard/settings</x:v>
      </x:c>
      <x:c r="D10" s="54" t="str">
        <x:v>Mostly meets / partial</x:v>
      </x:c>
      <x:c r="E10" s="83" t="str">
        <x:v>No</x:v>
      </x:c>
      <x:c r="F10" s="71" t="str">
        <x:v>Own</x:v>
      </x:c>
      <x:c r="G10" s="71" t="str">
        <x:v>Own</x:v>
      </x:c>
      <x:c r="H10" s="71" t="str">
        <x:v>Own</x:v>
      </x:c>
      <x:c r="I10" s="71" t="str">
        <x:v>Own</x:v>
      </x:c>
      <x:c r="J10" s="71" t="str">
        <x:v>Own</x:v>
      </x:c>
      <x:c r="K10" s="71" t="str">
        <x:v>Own</x:v>
      </x:c>
      <x:c r="L10" s="71" t="str">
        <x:v>Own</x:v>
      </x:c>
      <x:c r="M10" s="71" t="str">
        <x:v>Own</x:v>
      </x:c>
      <x:c r="N10" s="67" t="str">
        <x:v>Mostly implemented</x:v>
      </x:c>
      <x:c r="O10" s="54" t="str">
        <x:v>Notification records, read state, user preferences, and richer follow analytics remain.</x:v>
      </x:c>
      <x:c r="P10" s="54" t="str">
        <x:v>Requires authentication; not role-specific beyond ownership.</x:v>
      </x:c>
      <x:c r="Q10" s="54" t="str">
        <x:v>references/3. review-user-dashboard.md</x:v>
      </x:c>
      <x:c r="R10" s="39" t="str">
        <x:v>src/lib/retention-actions.ts; src/app/dashboard/saved/page.tsx; src/app/dashboard/settings/page.tsx</x:v>
      </x:c>
    </x:row>
    <x:row r="11">
      <x:c r="A11" s="42" t="str">
        <x:v>Expeditions</x:v>
      </x:c>
      <x:c r="B11" s="54" t="str">
        <x:v>Expedition listing, detail, itinerary, safety, route, reviews, and public trip content</x:v>
      </x:c>
      <x:c r="C11" s="54" t="str">
        <x:v>/expeditions; /expeditions/[slug]</x:v>
      </x:c>
      <x:c r="D11" s="54" t="str">
        <x:v>Mostly meets</x:v>
      </x:c>
      <x:c r="E11" s="71" t="str">
        <x:v>Allow</x:v>
      </x:c>
      <x:c r="F11" s="71" t="str">
        <x:v>Allow</x:v>
      </x:c>
      <x:c r="G11" s="71" t="str">
        <x:v>Allow</x:v>
      </x:c>
      <x:c r="H11" s="71" t="str">
        <x:v>Allow</x:v>
      </x:c>
      <x:c r="I11" s="71" t="str">
        <x:v>Allow</x:v>
      </x:c>
      <x:c r="J11" s="71" t="str">
        <x:v>Allow</x:v>
      </x:c>
      <x:c r="K11" s="71" t="str">
        <x:v>Allow</x:v>
      </x:c>
      <x:c r="L11" s="71" t="str">
        <x:v>Allow</x:v>
      </x:c>
      <x:c r="M11" s="71" t="str">
        <x:v>Allow</x:v>
      </x:c>
      <x:c r="N11" s="67" t="str">
        <x:v>Mostly implemented</x:v>
      </x:c>
      <x:c r="O11" s="54" t="str">
        <x:v>Dedicated media, itinerary, add-on, review, certification, and safety/accommodation tables are still future work.</x:v>
      </x:c>
      <x:c r="P11" s="54" t="str">
        <x:v>Public browsing is open to everyone; partner/admin edit from protected workspaces.</x:v>
      </x:c>
      <x:c r="Q11" s="54" t="str">
        <x:v>references/4. review-trip-detail.md</x:v>
      </x:c>
      <x:c r="R11" s="39" t="str">
        <x:v>src/app/(public)/expeditions/[slug]/page.tsx; src/components/expedition-booking-card.tsx; src/lib/expedition-metadata.ts</x:v>
      </x:c>
    </x:row>
    <x:row r="12">
      <x:c r="A12" s="42" t="str">
        <x:v>Expeditions</x:v>
      </x:c>
      <x:c r="B12" s="54" t="str">
        <x:v>Expedition booking checkout, seats, participants, payments, and dashboard records</x:v>
      </x:c>
      <x:c r="C12" s="54" t="str">
        <x:v>/checkout/expedition; /checkout/success; /dashboard/expeditions</x:v>
      </x:c>
      <x:c r="D12" s="54" t="str">
        <x:v>Partial</x:v>
      </x:c>
      <x:c r="E12" s="71" t="str">
        <x:v>Allow checkout</x:v>
      </x:c>
      <x:c r="F12" s="71" t="str">
        <x:v>Own/manage</x:v>
      </x:c>
      <x:c r="G12" s="71" t="str">
        <x:v>Own/manage</x:v>
      </x:c>
      <x:c r="H12" s="71" t="str">
        <x:v>Own/manage</x:v>
      </x:c>
      <x:c r="I12" s="71" t="str">
        <x:v>Own/manage</x:v>
      </x:c>
      <x:c r="J12" s="71" t="str">
        <x:v>Own/manage</x:v>
      </x:c>
      <x:c r="K12" s="71" t="str">
        <x:v>Own/manage</x:v>
      </x:c>
      <x:c r="L12" s="71" t="str">
        <x:v>Own/manage</x:v>
      </x:c>
      <x:c r="M12" s="71" t="str">
        <x:v>Own/manage + reconcile</x:v>
      </x:c>
      <x:c r="N12" s="75" t="str">
        <x:v>Partial</x:v>
      </x:c>
      <x:c r="O12" s="54" t="str">
        <x:v>Full five-step checkout, add-ons, waitlist, private departure, minimum-participant automation, and operator cancellation workflows remain.</x:v>
      </x:c>
      <x:c r="P12" s="54" t="str">
        <x:v>Booking backend persists booking/payment records; dashboard access is authenticated.</x:v>
      </x:c>
      <x:c r="Q12" s="54" t="str">
        <x:v>references/4. review-trip-detail.md; references/8. end-to-end-test-case.md</x:v>
      </x:c>
      <x:c r="R12" s="39" t="str">
        <x:v>src/lib/checkout-actions.ts; src/app/checkout/expedition/page.tsx; src/app/dashboard/expeditions/page.tsx</x:v>
      </x:c>
    </x:row>
    <x:row r="13">
      <x:c r="A13" s="42" t="str">
        <x:v>Expeditions</x:v>
      </x:c>
      <x:c r="B13" s="54" t="str">
        <x:v>Participant expedition reviews</x:v>
      </x:c>
      <x:c r="C13" s="54" t="str">
        <x:v>/dashboard/expeditions</x:v>
      </x:c>
      <x:c r="D13" s="54" t="str">
        <x:v>First version</x:v>
      </x:c>
      <x:c r="E13" s="83" t="str">
        <x:v>No</x:v>
      </x:c>
      <x:c r="F13" s="71" t="str">
        <x:v>Own submit</x:v>
      </x:c>
      <x:c r="G13" s="71" t="str">
        <x:v>Own submit</x:v>
      </x:c>
      <x:c r="H13" s="71" t="str">
        <x:v>Own submit</x:v>
      </x:c>
      <x:c r="I13" s="71" t="str">
        <x:v>Own submit</x:v>
      </x:c>
      <x:c r="J13" s="71" t="str">
        <x:v>Own submit</x:v>
      </x:c>
      <x:c r="K13" s="71" t="str">
        <x:v>Own submit</x:v>
      </x:c>
      <x:c r="L13" s="71" t="str">
        <x:v>Own submit</x:v>
      </x:c>
      <x:c r="M13" s="71" t="str">
        <x:v>Own submit</x:v>
      </x:c>
      <x:c r="N13" s="75" t="str">
        <x:v>Partial</x:v>
      </x:c>
      <x:c r="O13" s="54" t="str">
        <x:v>Moderation status, review media, review filters, and richer public review workflows remain.</x:v>
      </x:c>
      <x:c r="P13" s="54" t="str">
        <x:v>Server action requires a logged-in user and should be treated as an owner/participant workflow.</x:v>
      </x:c>
      <x:c r="Q13" s="54" t="str">
        <x:v>references/4. review-trip-detail.md</x:v>
      </x:c>
      <x:c r="R13" s="39" t="str">
        <x:v>src/lib/expedition-review-actions.ts; src/app/dashboard/expeditions/page.tsx</x:v>
      </x:c>
    </x:row>
    <x:row r="14">
      <x:c r="A14" s="42" t="str">
        <x:v>Academy</x:v>
      </x:c>
      <x:c r="B14" s="54" t="str">
        <x:v>Academy catalog, search/filter, course detail, and guest learning gateway</x:v>
      </x:c>
      <x:c r="C14" s="54" t="str">
        <x:v>/academy; /academy/courses/[slug]</x:v>
      </x:c>
      <x:c r="D14" s="54" t="str">
        <x:v>Mostly meets</x:v>
      </x:c>
      <x:c r="E14" s="71" t="str">
        <x:v>View</x:v>
      </x:c>
      <x:c r="F14" s="71" t="str">
        <x:v>View/enroll</x:v>
      </x:c>
      <x:c r="G14" s="71" t="str">
        <x:v>View/enroll</x:v>
      </x:c>
      <x:c r="H14" s="71" t="str">
        <x:v>View/enroll</x:v>
      </x:c>
      <x:c r="I14" s="71" t="str">
        <x:v>View/enroll</x:v>
      </x:c>
      <x:c r="J14" s="71" t="str">
        <x:v>View/enroll</x:v>
      </x:c>
      <x:c r="K14" s="71" t="str">
        <x:v>View/enroll</x:v>
      </x:c>
      <x:c r="L14" s="71" t="str">
        <x:v>View/enroll</x:v>
      </x:c>
      <x:c r="M14" s="71" t="str">
        <x:v>View/enroll</x:v>
      </x:c>
      <x:c r="N14" s="67" t="str">
        <x:v>Mostly implemented</x:v>
      </x:c>
      <x:c r="O14" s="54" t="str">
        <x:v>Persisted taxonomy, ratings, real instructor/session/resource tables, related campaign/expedition models, and richer media/player UI remain.</x:v>
      </x:c>
      <x:c r="P14" s="54" t="str">
        <x:v>Guest view is open; enrollment/progress actions require login.</x:v>
      </x:c>
      <x:c r="Q14" s="54" t="str">
        <x:v>references/7. review-academy.md</x:v>
      </x:c>
      <x:c r="R14" s="39" t="str">
        <x:v>src/app/(public)/academy/page.tsx; src/app/(public)/academy/courses/[slug]/page.tsx; src/lib/academy-actions.ts</x:v>
      </x:c>
    </x:row>
    <x:row r="15">
      <x:c r="A15" s="42" t="str">
        <x:v>Academy</x:v>
      </x:c>
      <x:c r="B15" s="54" t="str">
        <x:v>Course enrollment, lesson progress, assessment, certificate, and learning record</x:v>
      </x:c>
      <x:c r="C15" s="54" t="str">
        <x:v>/academy/courses/[slug]; /dashboard/academy; /dashboard/certificates</x:v>
      </x:c>
      <x:c r="D15" s="54" t="str">
        <x:v>Mostly meets / partial</x:v>
      </x:c>
      <x:c r="E15" s="71" t="str">
        <x:v>Login required</x:v>
      </x:c>
      <x:c r="F15" s="71" t="str">
        <x:v>Own</x:v>
      </x:c>
      <x:c r="G15" s="71" t="str">
        <x:v>Own</x:v>
      </x:c>
      <x:c r="H15" s="71" t="str">
        <x:v>Own</x:v>
      </x:c>
      <x:c r="I15" s="71" t="str">
        <x:v>Own</x:v>
      </x:c>
      <x:c r="J15" s="71" t="str">
        <x:v>Own</x:v>
      </x:c>
      <x:c r="K15" s="71" t="str">
        <x:v>Own</x:v>
      </x:c>
      <x:c r="L15" s="71" t="str">
        <x:v>Own</x:v>
      </x:c>
      <x:c r="M15" s="71" t="str">
        <x:v>Own</x:v>
      </x:c>
      <x:c r="N15" s="67" t="str">
        <x:v>Mostly implemented</x:v>
      </x:c>
      <x:c r="O15" s="54" t="str">
        <x:v>Real quiz questions, retakes, feedback, transcript export, certificate download/share verification, saved courses, and streaks remain.</x:v>
      </x:c>
      <x:c r="P15" s="54" t="str">
        <x:v>Any authenticated account can learn as a user; corporate assignments are not yet enforced.</x:v>
      </x:c>
      <x:c r="Q15" s="54" t="str">
        <x:v>references/7. review-academy.md; references/3. review-user-dashboard.md</x:v>
      </x:c>
      <x:c r="R15" s="39" t="str">
        <x:v>src/lib/academy-actions.ts; src/app/dashboard/academy/page.tsx; src/app/dashboard/certificates/page.tsx</x:v>
      </x:c>
    </x:row>
    <x:row r="16">
      <x:c r="A16" s="42" t="str">
        <x:v>Dashboard</x:v>
      </x:c>
      <x:c r="B16" s="54" t="str">
        <x:v>Authenticated dashboard overview and Impact Hub</x:v>
      </x:c>
      <x:c r="C16" s="54" t="str">
        <x:v>/dashboard</x:v>
      </x:c>
      <x:c r="D16" s="54" t="str">
        <x:v>Meets / mostly meets</x:v>
      </x:c>
      <x:c r="E16" s="83" t="str">
        <x:v>Redirect</x:v>
      </x:c>
      <x:c r="F16" s="71" t="str">
        <x:v>Own</x:v>
      </x:c>
      <x:c r="G16" s="71" t="str">
        <x:v>Own</x:v>
      </x:c>
      <x:c r="H16" s="71" t="str">
        <x:v>Own</x:v>
      </x:c>
      <x:c r="I16" s="71" t="str">
        <x:v>Own</x:v>
      </x:c>
      <x:c r="J16" s="71" t="str">
        <x:v>Own</x:v>
      </x:c>
      <x:c r="K16" s="71" t="str">
        <x:v>Own</x:v>
      </x:c>
      <x:c r="L16" s="71" t="str">
        <x:v>Own</x:v>
      </x:c>
      <x:c r="M16" s="71" t="str">
        <x:v>Own</x:v>
      </x:c>
      <x:c r="N16" s="67" t="str">
        <x:v>Mostly implemented</x:v>
      </x:c>
      <x:c r="O16" s="54" t="str">
        <x:v>Persist notification preferences, dashboard personalization, widget-level failure boundaries, and monthly report PDFs.</x:v>
      </x:c>
      <x:c r="P16" s="54" t="str">
        <x:v>Route guard is requireUser, so all signed-in roles can use their own dashboard.</x:v>
      </x:c>
      <x:c r="Q16" s="54" t="str">
        <x:v>references/3. review-user-dashboard.md; references/8. end-to-end-test-case.md</x:v>
      </x:c>
      <x:c r="R16" s="39" t="str">
        <x:v>src/app/dashboard/layout.tsx; src/app/dashboard/page.tsx; src/lib/queries.ts</x:v>
      </x:c>
    </x:row>
    <x:row r="17">
      <x:c r="A17" s="42" t="str">
        <x:v>Dashboard</x:v>
      </x:c>
      <x:c r="B17" s="54" t="str">
        <x:v>Donations, corals, receipts, billing, refunds, and payment methods</x:v>
      </x:c>
      <x:c r="C17" s="54" t="str">
        <x:v>/dashboard/donations; /dashboard/corals; /dashboard/corals/[code]</x:v>
      </x:c>
      <x:c r="D17" s="54" t="str">
        <x:v>Mostly meets / partial</x:v>
      </x:c>
      <x:c r="E17" s="83" t="str">
        <x:v>Redirect</x:v>
      </x:c>
      <x:c r="F17" s="71" t="str">
        <x:v>Own</x:v>
      </x:c>
      <x:c r="G17" s="71" t="str">
        <x:v>Own</x:v>
      </x:c>
      <x:c r="H17" s="71" t="str">
        <x:v>Own</x:v>
      </x:c>
      <x:c r="I17" s="71" t="str">
        <x:v>Own</x:v>
      </x:c>
      <x:c r="J17" s="71" t="str">
        <x:v>Own</x:v>
      </x:c>
      <x:c r="K17" s="71" t="str">
        <x:v>Own</x:v>
      </x:c>
      <x:c r="L17" s="71" t="str">
        <x:v>Own</x:v>
      </x:c>
      <x:c r="M17" s="71" t="str">
        <x:v>Own + admin reconcile separately</x:v>
      </x:c>
      <x:c r="N17" s="75" t="str">
        <x:v>Partial</x:v>
      </x:c>
      <x:c r="O17" s="54" t="str">
        <x:v>Provider-backed payment-method management, real refund provider flow, coral monitoring history, and evidence/media stream remain.</x:v>
      </x:c>
      <x:c r="P17" s="54" t="str">
        <x:v>User requests refunds; admin reconciles payments in admin workflows.</x:v>
      </x:c>
      <x:c r="Q17" s="54" t="str">
        <x:v>references/3. review-user-dashboard.md; references/5. review-impact-passport.md</x:v>
      </x:c>
      <x:c r="R17" s="39" t="str">
        <x:v>src/app/dashboard/donations/page.tsx; src/lib/billing-actions.ts; src/app/dashboard/corals/[code]/page.tsx</x:v>
      </x:c>
    </x:row>
    <x:row r="18">
      <x:c r="A18" s="42" t="str">
        <x:v>Dashboard</x:v>
      </x:c>
      <x:c r="B18" s="54" t="str">
        <x:v>Personal impact map, impact trend, timeline, achievements, and recommendations</x:v>
      </x:c>
      <x:c r="C18" s="54" t="str">
        <x:v>/dashboard/impact</x:v>
      </x:c>
      <x:c r="D18" s="54" t="str">
        <x:v>Meets / mostly meets</x:v>
      </x:c>
      <x:c r="E18" s="83" t="str">
        <x:v>Redirect</x:v>
      </x:c>
      <x:c r="F18" s="71" t="str">
        <x:v>Own</x:v>
      </x:c>
      <x:c r="G18" s="71" t="str">
        <x:v>Own</x:v>
      </x:c>
      <x:c r="H18" s="71" t="str">
        <x:v>Own</x:v>
      </x:c>
      <x:c r="I18" s="71" t="str">
        <x:v>Own</x:v>
      </x:c>
      <x:c r="J18" s="71" t="str">
        <x:v>Own</x:v>
      </x:c>
      <x:c r="K18" s="71" t="str">
        <x:v>Own</x:v>
      </x:c>
      <x:c r="L18" s="71" t="str">
        <x:v>Own</x:v>
      </x:c>
      <x:c r="M18" s="71" t="str">
        <x:v>Own</x:v>
      </x:c>
      <x:c r="N18" s="67" t="str">
        <x:v>Mostly implemented</x:v>
      </x:c>
      <x:c r="O18" s="54" t="str">
        <x:v>Persist achievement definitions/earned events, full map layers, share analytics, and deeper personalization.</x:v>
      </x:c>
      <x:c r="P18" s="54" t="str">
        <x:v>User-specific data is not exposed publicly unless surfaced through public-safe passport rules.</x:v>
      </x:c>
      <x:c r="Q18" s="54" t="str">
        <x:v>references/3. review-user-dashboard.md; references/5. review-impact-passport.md</x:v>
      </x:c>
      <x:c r="R18" s="39" t="str">
        <x:v>src/app/dashboard/impact/page.tsx; src/components/dashboard-personal-impact-map.tsx; src/components/dashboard-impact-trend.tsx</x:v>
      </x:c>
    </x:row>
    <x:row r="19">
      <x:c r="A19" s="42" t="str">
        <x:v>Passport</x:v>
      </x:c>
      <x:c r="B19" s="54" t="str">
        <x:v>Impact Passport owner view, visibility selector, QR, metrics, timeline, and methodology</x:v>
      </x:c>
      <x:c r="C19" s="54" t="str">
        <x:v>/dashboard/passport</x:v>
      </x:c>
      <x:c r="D19" s="54" t="str">
        <x:v>Mostly meets</x:v>
      </x:c>
      <x:c r="E19" s="83" t="str">
        <x:v>Redirect</x:v>
      </x:c>
      <x:c r="F19" s="71" t="str">
        <x:v>Own</x:v>
      </x:c>
      <x:c r="G19" s="71" t="str">
        <x:v>Own</x:v>
      </x:c>
      <x:c r="H19" s="71" t="str">
        <x:v>Own</x:v>
      </x:c>
      <x:c r="I19" s="71" t="str">
        <x:v>Own</x:v>
      </x:c>
      <x:c r="J19" s="71" t="str">
        <x:v>Own</x:v>
      </x:c>
      <x:c r="K19" s="71" t="str">
        <x:v>Own</x:v>
      </x:c>
      <x:c r="L19" s="71" t="str">
        <x:v>Own</x:v>
      </x:c>
      <x:c r="M19" s="71" t="str">
        <x:v>Own</x:v>
      </x:c>
      <x:c r="N19" s="67" t="str">
        <x:v>Mostly implemented</x:v>
      </x:c>
      <x:c r="O19" s="54" t="str">
        <x:v>Per-category privacy, custom URL/link expiry/passwords, PDF/image export, record verification pages, and section ordering remain.</x:v>
      </x:c>
      <x:c r="P19" s="54" t="str">
        <x:v>Owner controls are available to any authenticated account for its own passport.</x:v>
      </x:c>
      <x:c r="Q19" s="54" t="str">
        <x:v>references/5. review-impact-passport.md</x:v>
      </x:c>
      <x:c r="R19" s="39" t="str">
        <x:v>src/app/dashboard/passport/page.tsx; src/lib/auth-actions.ts; src/components/passport-copy-button.tsx</x:v>
      </x:c>
    </x:row>
    <x:row r="20">
      <x:c r="A20" s="42" t="str">
        <x:v>Passport</x:v>
      </x:c>
      <x:c r="B20" s="54" t="str">
        <x:v>Public Impact Passport profile and public-safe sharing</x:v>
      </x:c>
      <x:c r="C20" s="54" t="str">
        <x:v>/passport/[publicSlug]</x:v>
      </x:c>
      <x:c r="D20" s="54" t="str">
        <x:v>Mostly meets / partial</x:v>
      </x:c>
      <x:c r="E20" s="71" t="str">
        <x:v>View if public</x:v>
      </x:c>
      <x:c r="F20" s="71" t="str">
        <x:v>View/share</x:v>
      </x:c>
      <x:c r="G20" s="71" t="str">
        <x:v>View/share</x:v>
      </x:c>
      <x:c r="H20" s="71" t="str">
        <x:v>View/share</x:v>
      </x:c>
      <x:c r="I20" s="71" t="str">
        <x:v>View/share</x:v>
      </x:c>
      <x:c r="J20" s="71" t="str">
        <x:v>View/share</x:v>
      </x:c>
      <x:c r="K20" s="71" t="str">
        <x:v>View/share</x:v>
      </x:c>
      <x:c r="L20" s="71" t="str">
        <x:v>View/share</x:v>
      </x:c>
      <x:c r="M20" s="71" t="str">
        <x:v>View/share</x:v>
      </x:c>
      <x:c r="N20" s="67" t="str">
        <x:v>Mostly implemented</x:v>
      </x:c>
      <x:c r="O20" s="54" t="str">
        <x:v>Link-only hardening, expiry/passwords, downloadable summaries, endorsements, evidence consent controls, and SDG alignment remain.</x:v>
      </x:c>
      <x:c r="P20" s="54" t="str">
        <x:v>Public route intentionally hides private donations, receipts, exact private locations, draft records, and payment data.</x:v>
      </x:c>
      <x:c r="Q20" s="54" t="str">
        <x:v>references/5. review-impact-passport.md; DEVELOPMENT_PLAN.md</x:v>
      </x:c>
      <x:c r="R20" s="39" t="str">
        <x:v>src/app/(public)/passport/[publicSlug]/page.tsx; src/lib/queries.ts</x:v>
      </x:c>
    </x:row>
    <x:row r="21">
      <x:c r="A21" s="42" t="str">
        <x:v>Partner</x:v>
      </x:c>
      <x:c r="B21" s="54" t="str">
        <x:v>Partner portal overview and protected partner shell</x:v>
      </x:c>
      <x:c r="C21" s="54" t="str">
        <x:v>/partner</x:v>
      </x:c>
      <x:c r="D21" s="54" t="str">
        <x:v>Implemented first version</x:v>
      </x:c>
      <x:c r="E21" s="83" t="str">
        <x:v>Redirect</x:v>
      </x:c>
      <x:c r="F21" s="83" t="str">
        <x:v>Forbidden</x:v>
      </x:c>
      <x:c r="G21" s="83" t="str">
        <x:v>Forbidden</x:v>
      </x:c>
      <x:c r="H21" s="83" t="str">
        <x:v>Forbidden</x:v>
      </x:c>
      <x:c r="I21" s="83" t="str">
        <x:v>Forbidden</x:v>
      </x:c>
      <x:c r="J21" s="83" t="str">
        <x:v>Forbidden</x:v>
      </x:c>
      <x:c r="K21" s="83" t="str">
        <x:v>Forbidden</x:v>
      </x:c>
      <x:c r="L21" s="71" t="str">
        <x:v>Allow</x:v>
      </x:c>
      <x:c r="M21" s="71" t="str">
        <x:v>Allow</x:v>
      </x:c>
      <x:c r="N21" s="67" t="str">
        <x:v>Mostly implemented</x:v>
      </x:c>
      <x:c r="O21" s="54" t="str">
        <x:v>Granular partner permissions by owner/manager/contributor/viewer still need deeper enforcement.</x:v>
      </x:c>
      <x:c r="P21" s="54" t="str">
        <x:v>Partner layout allows partner and admin roles.</x:v>
      </x:c>
      <x:c r="Q21" s="54" t="str">
        <x:v>docs/user-guides/partner.md; references/8. end-to-end-test-case.md</x:v>
      </x:c>
      <x:c r="R21" s="39" t="str">
        <x:v>src/app/partner/layout.tsx; src/app/partner/page.tsx; src/components/partner-shell.tsx</x:v>
      </x:c>
    </x:row>
    <x:row r="22">
      <x:c r="A22" s="42" t="str">
        <x:v>Partner</x:v>
      </x:c>
      <x:c r="B22" s="54" t="str">
        <x:v>Partner campaign creation, editing, status draft/review, and deletion</x:v>
      </x:c>
      <x:c r="C22" s="54" t="str">
        <x:v>/partner/campaigns; /partner/campaigns/new</x:v>
      </x:c>
      <x:c r="D22" s="54" t="str">
        <x:v>Implemented first version</x:v>
      </x:c>
      <x:c r="E22" s="83" t="str">
        <x:v>Redirect</x:v>
      </x:c>
      <x:c r="F22" s="83" t="str">
        <x:v>Forbidden</x:v>
      </x:c>
      <x:c r="G22" s="83" t="str">
        <x:v>Forbidden</x:v>
      </x:c>
      <x:c r="H22" s="83" t="str">
        <x:v>Forbidden</x:v>
      </x:c>
      <x:c r="I22" s="83" t="str">
        <x:v>Forbidden</x:v>
      </x:c>
      <x:c r="J22" s="83" t="str">
        <x:v>Forbidden</x:v>
      </x:c>
      <x:c r="K22" s="83" t="str">
        <x:v>Forbidden</x:v>
      </x:c>
      <x:c r="L22" s="71" t="str">
        <x:v>Manage own org</x:v>
      </x:c>
      <x:c r="M22" s="71" t="str">
        <x:v>Manage</x:v>
      </x:c>
      <x:c r="N22" s="67" t="str">
        <x:v>Mostly implemented</x:v>
      </x:c>
      <x:c r="O22" s="54" t="str">
        <x:v>Partner member role granularity, publish approval workflow, richer media/budget/timeline tables, and audit history remain.</x:v>
      </x:c>
      <x:c r="P22" s="54" t="str">
        <x:v>Partner campaigns are limited to draft/review statuses and organization access checks.</x:v>
      </x:c>
      <x:c r="Q22" s="54" t="str">
        <x:v>docs/user-guides/partner.md; references/8. end-to-end-test-case.md</x:v>
      </x:c>
      <x:c r="R22" s="39" t="str">
        <x:v>src/lib/portal-actions.ts; src/components/partner-portal-ui.tsx; src/app/partner/campaigns/page.tsx</x:v>
      </x:c>
    </x:row>
    <x:row r="23">
      <x:c r="A23" s="42" t="str">
        <x:v>Partner</x:v>
      </x:c>
      <x:c r="B23" s="54" t="str">
        <x:v>Partner campaign activity, public updates, and evidence submission</x:v>
      </x:c>
      <x:c r="C23" s="54" t="str">
        <x:v>/partner/activity; /partner/updates; /partner/evidence; /partner/evidence/submit</x:v>
      </x:c>
      <x:c r="D23" s="54" t="str">
        <x:v>Implemented first version</x:v>
      </x:c>
      <x:c r="E23" s="83" t="str">
        <x:v>Redirect</x:v>
      </x:c>
      <x:c r="F23" s="83" t="str">
        <x:v>Forbidden</x:v>
      </x:c>
      <x:c r="G23" s="83" t="str">
        <x:v>Forbidden</x:v>
      </x:c>
      <x:c r="H23" s="83" t="str">
        <x:v>Forbidden</x:v>
      </x:c>
      <x:c r="I23" s="83" t="str">
        <x:v>Forbidden</x:v>
      </x:c>
      <x:c r="J23" s="83" t="str">
        <x:v>Forbidden</x:v>
      </x:c>
      <x:c r="K23" s="83" t="str">
        <x:v>Forbidden</x:v>
      </x:c>
      <x:c r="L23" s="71" t="str">
        <x:v>Submit own org</x:v>
      </x:c>
      <x:c r="M23" s="71" t="str">
        <x:v>Submit/review</x:v>
      </x:c>
      <x:c r="N23" s="67" t="str">
        <x:v>Mostly implemented</x:v>
      </x:c>
      <x:c r="O23" s="54" t="str">
        <x:v>Evidence upload/provider workflow, partner-specific review queues, and role-level submit/review separation need hardening.</x:v>
      </x:c>
      <x:c r="P23" s="54" t="str">
        <x:v>Admin verification is a separate admin-only workflow.</x:v>
      </x:c>
      <x:c r="Q23" s="54" t="str">
        <x:v>docs/user-guides/partner.md; references/8. end-to-end-test-case.md</x:v>
      </x:c>
      <x:c r="R23" s="39" t="str">
        <x:v>src/lib/portal-actions.ts; src/app/partner/evidence/submit/page.tsx; src/app/admin/campaigns/evidence/page.tsx</x:v>
      </x:c>
    </x:row>
    <x:row r="24">
      <x:c r="A24" s="42" t="str">
        <x:v>Partner</x:v>
      </x:c>
      <x:c r="B24" s="54" t="str">
        <x:v>Partner expedition catalog and departure management</x:v>
      </x:c>
      <x:c r="C24" s="54" t="str">
        <x:v>/partner/expeditions</x:v>
      </x:c>
      <x:c r="D24" s="54" t="str">
        <x:v>Mostly meets</x:v>
      </x:c>
      <x:c r="E24" s="83" t="str">
        <x:v>Redirect</x:v>
      </x:c>
      <x:c r="F24" s="83" t="str">
        <x:v>Forbidden</x:v>
      </x:c>
      <x:c r="G24" s="83" t="str">
        <x:v>Forbidden</x:v>
      </x:c>
      <x:c r="H24" s="83" t="str">
        <x:v>Forbidden</x:v>
      </x:c>
      <x:c r="I24" s="83" t="str">
        <x:v>Forbidden</x:v>
      </x:c>
      <x:c r="J24" s="83" t="str">
        <x:v>Forbidden</x:v>
      </x:c>
      <x:c r="K24" s="83" t="str">
        <x:v>Forbidden</x:v>
      </x:c>
      <x:c r="L24" s="71" t="str">
        <x:v>Manage linked campaigns</x:v>
      </x:c>
      <x:c r="M24" s="71" t="str">
        <x:v>Manage</x:v>
      </x:c>
      <x:c r="N24" s="67" t="str">
        <x:v>Mostly implemented</x:v>
      </x:c>
      <x:c r="O24" s="54" t="str">
        <x:v>Move metadata into dedicated tables; add waitlist/private-trip workflows, media library, review moderation, and availability analytics.</x:v>
      </x:c>
      <x:c r="P24" s="54" t="str">
        <x:v>Partner can manage public trip-detail metadata for expeditions tied to their campaigns.</x:v>
      </x:c>
      <x:c r="Q24" s="54" t="str">
        <x:v>references/4. review-trip-detail.md; docs/user-guides/partner.md</x:v>
      </x:c>
      <x:c r="R24" s="39" t="str">
        <x:v>src/app/partner/expeditions/page.tsx; src/components/partner-expedition-editor.tsx; src/lib/portal-actions.ts</x:v>
      </x:c>
    </x:row>
    <x:row r="25">
      <x:c r="A25" s="42" t="str">
        <x:v>Admin</x:v>
      </x:c>
      <x:c r="B25" s="54" t="str">
        <x:v>Admin dashboard and protected admin shell</x:v>
      </x:c>
      <x:c r="C25" s="54" t="str">
        <x:v>/admin</x:v>
      </x:c>
      <x:c r="D25" s="54" t="str">
        <x:v>Implemented</x:v>
      </x:c>
      <x:c r="E25" s="83" t="str">
        <x:v>Redirect</x:v>
      </x:c>
      <x:c r="F25" s="83" t="str">
        <x:v>Forbidden</x:v>
      </x:c>
      <x:c r="G25" s="83" t="str">
        <x:v>Forbidden</x:v>
      </x:c>
      <x:c r="H25" s="83" t="str">
        <x:v>Forbidden</x:v>
      </x:c>
      <x:c r="I25" s="83" t="str">
        <x:v>Forbidden</x:v>
      </x:c>
      <x:c r="J25" s="83" t="str">
        <x:v>Forbidden</x:v>
      </x:c>
      <x:c r="K25" s="83" t="str">
        <x:v>Forbidden</x:v>
      </x:c>
      <x:c r="L25" s="83" t="str">
        <x:v>Forbidden</x:v>
      </x:c>
      <x:c r="M25" s="71" t="str">
        <x:v>Allow</x:v>
      </x:c>
      <x:c r="N25" s="79" t="str">
        <x:v>Implemented</x:v>
      </x:c>
      <x:c r="O25" s="54" t="str">
        <x:v>No major route coverage gap; deeper product workflows and audit completeness remain by area.</x:v>
      </x:c>
      <x:c r="P25" s="54" t="str">
        <x:v>Admin layout requires admin role.</x:v>
      </x:c>
      <x:c r="Q25" s="54" t="str">
        <x:v>docs/user-guides/admin.md; references/8. end-to-end-test-case.md</x:v>
      </x:c>
      <x:c r="R25" s="39" t="str">
        <x:v>src/app/admin/layout.tsx; src/app/admin/page.tsx; src/components/admin-shell.tsx</x:v>
      </x:c>
    </x:row>
    <x:row r="26">
      <x:c r="A26" s="42" t="str">
        <x:v>Admin</x:v>
      </x:c>
      <x:c r="B26" s="54" t="str">
        <x:v>Campaign management, impact sites, campaign status, and public publishing controls</x:v>
      </x:c>
      <x:c r="C26" s="54" t="str">
        <x:v>/admin/campaigns; /admin/campaigns/new; /admin/campaigns/[campaignId]; /admin/campaigns/impact-sites</x:v>
      </x:c>
      <x:c r="D26" s="54" t="str">
        <x:v>Implemented first version</x:v>
      </x:c>
      <x:c r="E26" s="83" t="str">
        <x:v>Redirect</x:v>
      </x:c>
      <x:c r="F26" s="83" t="str">
        <x:v>Forbidden</x:v>
      </x:c>
      <x:c r="G26" s="83" t="str">
        <x:v>Forbidden</x:v>
      </x:c>
      <x:c r="H26" s="83" t="str">
        <x:v>Forbidden</x:v>
      </x:c>
      <x:c r="I26" s="83" t="str">
        <x:v>Forbidden</x:v>
      </x:c>
      <x:c r="J26" s="83" t="str">
        <x:v>Forbidden</x:v>
      </x:c>
      <x:c r="K26" s="83" t="str">
        <x:v>Forbidden</x:v>
      </x:c>
      <x:c r="L26" s="83" t="str">
        <x:v>Forbidden</x:v>
      </x:c>
      <x:c r="M26" s="71" t="str">
        <x:v>Manage</x:v>
      </x:c>
      <x:c r="N26" s="67" t="str">
        <x:v>Mostly implemented</x:v>
      </x:c>
      <x:c r="O26" s="54" t="str">
        <x:v>Dedicated media library, budget/timeline/team records, paused/review public state copy, and richer moderation history remain.</x:v>
      </x:c>
      <x:c r="P26" s="54" t="str">
        <x:v>Admin server actions gate create/update/delete/status with requireRole(['admin']).</x:v>
      </x:c>
      <x:c r="Q26" s="54" t="str">
        <x:v>DEVELOPMENT_PLAN.md; references/8. end-to-end-test-case.md</x:v>
      </x:c>
      <x:c r="R26" s="39" t="str">
        <x:v>src/app/admin/campaigns/page.tsx; src/app/admin/campaigns/[campaignId]/page.tsx; src/lib/portal-actions.ts</x:v>
      </x:c>
    </x:row>
    <x:row r="27">
      <x:c r="A27" s="42" t="str">
        <x:v>Admin</x:v>
      </x:c>
      <x:c r="B27" s="54" t="str">
        <x:v>Expedition management and departure administration</x:v>
      </x:c>
      <x:c r="C27" s="54" t="str">
        <x:v>/admin/expeditions; /admin/expeditions/new; /admin/expeditions/[expeditionId]</x:v>
      </x:c>
      <x:c r="D27" s="54" t="str">
        <x:v>Mostly meets</x:v>
      </x:c>
      <x:c r="E27" s="83" t="str">
        <x:v>Redirect</x:v>
      </x:c>
      <x:c r="F27" s="83" t="str">
        <x:v>Forbidden</x:v>
      </x:c>
      <x:c r="G27" s="83" t="str">
        <x:v>Forbidden</x:v>
      </x:c>
      <x:c r="H27" s="83" t="str">
        <x:v>Forbidden</x:v>
      </x:c>
      <x:c r="I27" s="83" t="str">
        <x:v>Forbidden</x:v>
      </x:c>
      <x:c r="J27" s="83" t="str">
        <x:v>Forbidden</x:v>
      </x:c>
      <x:c r="K27" s="83" t="str">
        <x:v>Forbidden</x:v>
      </x:c>
      <x:c r="L27" s="83" t="str">
        <x:v>Forbidden</x:v>
      </x:c>
      <x:c r="M27" s="71" t="str">
        <x:v>Manage</x:v>
      </x:c>
      <x:c r="N27" s="67" t="str">
        <x:v>Mostly implemented</x:v>
      </x:c>
      <x:c r="O27" s="54" t="str">
        <x:v>Normalize expedition metadata, add add-ons, waitlists, private departures, operator cancellation, and review moderation.</x:v>
      </x:c>
      <x:c r="P27" s="54" t="str">
        <x:v>Admin can create/update/delete expeditions and departures.</x:v>
      </x:c>
      <x:c r="Q27" s="54" t="str">
        <x:v>references/4. review-trip-detail.md; DEVELOPMENT_PLAN.md</x:v>
      </x:c>
      <x:c r="R27" s="39" t="str">
        <x:v>src/app/admin/expeditions/page.tsx; src/app/admin/expeditions/[expeditionId]/page.tsx; src/lib/portal-actions.ts</x:v>
      </x:c>
    </x:row>
    <x:row r="28">
      <x:c r="A28" s="42" t="str">
        <x:v>Admin</x:v>
      </x:c>
      <x:c r="B28" s="54" t="str">
        <x:v>Partner organization verification and partner-user administration</x:v>
      </x:c>
      <x:c r="C28" s="54" t="str">
        <x:v>/admin/partners; /admin/partners/new; /admin/partners/[partnerId]</x:v>
      </x:c>
      <x:c r="D28" s="54" t="str">
        <x:v>Implemented first version</x:v>
      </x:c>
      <x:c r="E28" s="83" t="str">
        <x:v>Redirect</x:v>
      </x:c>
      <x:c r="F28" s="83" t="str">
        <x:v>Forbidden</x:v>
      </x:c>
      <x:c r="G28" s="83" t="str">
        <x:v>Forbidden</x:v>
      </x:c>
      <x:c r="H28" s="83" t="str">
        <x:v>Forbidden</x:v>
      </x:c>
      <x:c r="I28" s="83" t="str">
        <x:v>Forbidden</x:v>
      </x:c>
      <x:c r="J28" s="83" t="str">
        <x:v>Forbidden</x:v>
      </x:c>
      <x:c r="K28" s="83" t="str">
        <x:v>Forbidden</x:v>
      </x:c>
      <x:c r="L28" s="83" t="str">
        <x:v>Forbidden</x:v>
      </x:c>
      <x:c r="M28" s="71" t="str">
        <x:v>Manage</x:v>
      </x:c>
      <x:c r="N28" s="67" t="str">
        <x:v>Mostly implemented</x:v>
      </x:c>
      <x:c r="O28" s="54" t="str">
        <x:v>Granular partner member permissions, invitation lifecycle, immutable verification documents, and broader audit trail remain.</x:v>
      </x:c>
      <x:c r="P28" s="54" t="str">
        <x:v>Admin manages partner profile, verification level, and organization users.</x:v>
      </x:c>
      <x:c r="Q28" s="54" t="str">
        <x:v>DEVELOPMENT_PLAN.md; docs/user-guides/admin.md</x:v>
      </x:c>
      <x:c r="R28" s="39" t="str">
        <x:v>src/app/admin/partners/[partnerId]/page.tsx; src/lib/portal-actions.ts; src/db/schema.ts</x:v>
      </x:c>
    </x:row>
    <x:row r="29">
      <x:c r="A29" s="42" t="str">
        <x:v>Admin</x:v>
      </x:c>
      <x:c r="B29" s="54" t="str">
        <x:v>Evidence verification, reject/verify workflow, and audit logging</x:v>
      </x:c>
      <x:c r="C29" s="54" t="str">
        <x:v>/admin/campaigns/evidence; /admin/evidence</x:v>
      </x:c>
      <x:c r="D29" s="54" t="str">
        <x:v>Implemented first version</x:v>
      </x:c>
      <x:c r="E29" s="83" t="str">
        <x:v>Redirect</x:v>
      </x:c>
      <x:c r="F29" s="83" t="str">
        <x:v>Forbidden</x:v>
      </x:c>
      <x:c r="G29" s="83" t="str">
        <x:v>Forbidden</x:v>
      </x:c>
      <x:c r="H29" s="83" t="str">
        <x:v>Forbidden</x:v>
      </x:c>
      <x:c r="I29" s="83" t="str">
        <x:v>Forbidden</x:v>
      </x:c>
      <x:c r="J29" s="83" t="str">
        <x:v>Forbidden</x:v>
      </x:c>
      <x:c r="K29" s="83" t="str">
        <x:v>Forbidden</x:v>
      </x:c>
      <x:c r="L29" s="83" t="str">
        <x:v>Forbidden</x:v>
      </x:c>
      <x:c r="M29" s="71" t="str">
        <x:v>Verify/reject</x:v>
      </x:c>
      <x:c r="N29" s="67" t="str">
        <x:v>Mostly implemented</x:v>
      </x:c>
      <x:c r="O29" s="54" t="str">
        <x:v>Reviewer assignment, clarification workflow, evidence-provider storage, and partner/admin note separation need production depth.</x:v>
      </x:c>
      <x:c r="P29" s="54" t="str">
        <x:v>Evidence updates are admin-only; public pages show approved public-safe evidence.</x:v>
      </x:c>
      <x:c r="Q29" s="54" t="str">
        <x:v>references/8. end-to-end-test-case.md; DEVELOPMENT_PLAN.md</x:v>
      </x:c>
      <x:c r="R29" s="39" t="str">
        <x:v>src/app/admin/campaigns/evidence/page.tsx; src/lib/portal-actions.ts</x:v>
      </x:c>
    </x:row>
    <x:row r="30">
      <x:c r="A30" s="42" t="str">
        <x:v>Admin</x:v>
      </x:c>
      <x:c r="B30" s="54" t="str">
        <x:v>Donation and expedition booking reconciliation, failed/refund payment operations</x:v>
      </x:c>
      <x:c r="C30" s="54" t="str">
        <x:v>/admin; /admin/audit</x:v>
      </x:c>
      <x:c r="D30" s="54" t="str">
        <x:v>Implemented demo operations</x:v>
      </x:c>
      <x:c r="E30" s="83" t="str">
        <x:v>No</x:v>
      </x:c>
      <x:c r="F30" s="71" t="str">
        <x:v>Request own refund</x:v>
      </x:c>
      <x:c r="G30" s="71" t="str">
        <x:v>Request own refund</x:v>
      </x:c>
      <x:c r="H30" s="71" t="str">
        <x:v>Request own refund</x:v>
      </x:c>
      <x:c r="I30" s="71" t="str">
        <x:v>Request own refund</x:v>
      </x:c>
      <x:c r="J30" s="71" t="str">
        <x:v>Request own refund</x:v>
      </x:c>
      <x:c r="K30" s="71" t="str">
        <x:v>Request own refund</x:v>
      </x:c>
      <x:c r="L30" s="71" t="str">
        <x:v>Request own refund</x:v>
      </x:c>
      <x:c r="M30" s="71" t="str">
        <x:v>Reconcile</x:v>
      </x:c>
      <x:c r="N30" s="67" t="str">
        <x:v>Mostly implemented</x:v>
      </x:c>
      <x:c r="O30" s="54" t="str">
        <x:v>Real payment provider refunds, settlement reconciliation, idempotent external callbacks, and finance-grade export controls remain.</x:v>
      </x:c>
      <x:c r="P30" s="54" t="str">
        <x:v>User refund requests live in billing actions; admin reconciliation lives in portal actions.</x:v>
      </x:c>
      <x:c r="Q30" s="54" t="str">
        <x:v>references/8. end-to-end-test-case.md; TERUMBU_IMPLEMENTATION_PLAN_COMPARISON.md</x:v>
      </x:c>
      <x:c r="R30" s="39" t="str">
        <x:v>src/lib/billing-actions.ts; src/lib/portal-actions.ts; src/lib/payment-workflows.ts</x:v>
      </x:c>
    </x:row>
    <x:row r="31">
      <x:c r="A31" s="42" t="str">
        <x:v>Admin</x:v>
      </x:c>
      <x:c r="B31" s="54" t="str">
        <x:v>Admin reports, users, and audit-log review</x:v>
      </x:c>
      <x:c r="C31" s="54" t="str">
        <x:v>/admin/reports; /admin/users; /admin/audit</x:v>
      </x:c>
      <x:c r="D31" s="54" t="str">
        <x:v>Implemented first version</x:v>
      </x:c>
      <x:c r="E31" s="83" t="str">
        <x:v>Redirect</x:v>
      </x:c>
      <x:c r="F31" s="83" t="str">
        <x:v>Forbidden</x:v>
      </x:c>
      <x:c r="G31" s="83" t="str">
        <x:v>Forbidden</x:v>
      </x:c>
      <x:c r="H31" s="83" t="str">
        <x:v>Forbidden</x:v>
      </x:c>
      <x:c r="I31" s="83" t="str">
        <x:v>Forbidden</x:v>
      </x:c>
      <x:c r="J31" s="83" t="str">
        <x:v>Forbidden</x:v>
      </x:c>
      <x:c r="K31" s="83" t="str">
        <x:v>Forbidden</x:v>
      </x:c>
      <x:c r="L31" s="83" t="str">
        <x:v>Forbidden</x:v>
      </x:c>
      <x:c r="M31" s="71" t="str">
        <x:v>View/manage</x:v>
      </x:c>
      <x:c r="N31" s="67" t="str">
        <x:v>Mostly implemented</x:v>
      </x:c>
      <x:c r="O31" s="54" t="str">
        <x:v>Role assignment UI, admin-created user flows beyond partner users, report filters, durable export storage, and richer audit querying remain.</x:v>
      </x:c>
      <x:c r="P31" s="54" t="str">
        <x:v>Admin reports page sees corporate export artifacts without granting corporate workspace access.</x:v>
      </x:c>
      <x:c r="Q31" s="54" t="str">
        <x:v>docs/user-guides/admin.md; references/8. end-to-end-test-case.md</x:v>
      </x:c>
      <x:c r="R31" s="39" t="str">
        <x:v>src/app/admin/reports/page.tsx; src/app/admin/users/page.tsx; src/app/admin/audit/page.tsx</x:v>
      </x:c>
    </x:row>
    <x:row r="32">
      <x:c r="A32" s="42" t="str">
        <x:v>Corporate</x:v>
      </x:c>
      <x:c r="B32" s="54" t="str">
        <x:v>Corporate dashboard overview, program context, KPIs, goals, risks, portfolio, and shell</x:v>
      </x:c>
      <x:c r="C32" s="54" t="str">
        <x:v>/corporate; /corporate/dashboard</x:v>
      </x:c>
      <x:c r="D32" s="54" t="str">
        <x:v>Mostly meets</x:v>
      </x:c>
      <x:c r="E32" s="83" t="str">
        <x:v>Redirect</x:v>
      </x:c>
      <x:c r="F32" s="71" t="str">
        <x:v>No corporate program</x:v>
      </x:c>
      <x:c r="G32" s="71" t="str">
        <x:v>View/manage program</x:v>
      </x:c>
      <x:c r="H32" s="71" t="str">
        <x:v>View finance areas</x:v>
      </x:c>
      <x:c r="I32" s="71" t="str">
        <x:v>View executive summary</x:v>
      </x:c>
      <x:c r="J32" s="71" t="str">
        <x:v>View employee areas</x:v>
      </x:c>
      <x:c r="K32" s="71" t="str">
        <x:v>View audit/evidence</x:v>
      </x:c>
      <x:c r="L32" s="71" t="str">
        <x:v>No corporate program</x:v>
      </x:c>
      <x:c r="M32" s="87" t="str">
        <x:v>No program unless granted</x:v>
      </x:c>
      <x:c r="N32" s="67" t="str">
        <x:v>Mostly implemented</x:v>
      </x:c>
      <x:c r="O32" s="54" t="str">
        <x:v>Many workflows are derived/presentational; durable approval, benchmark, event, integration, notification, and passport entities remain.</x:v>
      </x:c>
      <x:c r="P32" s="54" t="str">
        <x:v>Corporate access is based on corporate_permissions; top-level corporate_admin alone is not the only access signal.</x:v>
      </x:c>
      <x:c r="Q32" s="54" t="str">
        <x:v>references/6. review-corporate-dashboard.md; DEVELOPMENT_PLAN.md</x:v>
      </x:c>
      <x:c r="R32" s="39" t="str">
        <x:v>src/app/corporate/layout.tsx; src/app/corporate/page.tsx; src/lib/queries.ts</x:v>
      </x:c>
    </x:row>
    <x:row r="33">
      <x:c r="A33" s="42" t="str">
        <x:v>Corporate</x:v>
      </x:c>
      <x:c r="B33" s="54" t="str">
        <x:v>Corporate projects, programs, funding utilization, budgets, and disbursement schedule</x:v>
      </x:c>
      <x:c r="C33" s="54" t="str">
        <x:v>/corporate/programs; /corporate/projects; /corporate/funding</x:v>
      </x:c>
      <x:c r="D33" s="54" t="str">
        <x:v>Mostly meets</x:v>
      </x:c>
      <x:c r="E33" s="83" t="str">
        <x:v>Redirect</x:v>
      </x:c>
      <x:c r="F33" s="71" t="str">
        <x:v>No corporate program</x:v>
      </x:c>
      <x:c r="G33" s="71" t="str">
        <x:v>View/manage</x:v>
      </x:c>
      <x:c r="H33" s="71" t="str">
        <x:v>Review finance</x:v>
      </x:c>
      <x:c r="I33" s="71" t="str">
        <x:v>View</x:v>
      </x:c>
      <x:c r="J33" s="71" t="str">
        <x:v>View</x:v>
      </x:c>
      <x:c r="K33" s="71" t="str">
        <x:v>View/audit</x:v>
      </x:c>
      <x:c r="L33" s="71" t="str">
        <x:v>No corporate program</x:v>
      </x:c>
      <x:c r="M33" s="87" t="str">
        <x:v>No program unless granted</x:v>
      </x:c>
      <x:c r="N33" s="67" t="str">
        <x:v>Mostly implemented</x:v>
      </x:c>
      <x:c r="O33" s="54" t="str">
        <x:v>Actual approval mutations, saved views, filters, variance explanations, attachments, and finance export controls remain.</x:v>
      </x:c>
      <x:c r="P33" s="54" t="str">
        <x:v>Program context is loaded from corporate_permissions joined to accounts/programs.</x:v>
      </x:c>
      <x:c r="Q33" s="54" t="str">
        <x:v>references/6. review-corporate-dashboard.md; README.md</x:v>
      </x:c>
      <x:c r="R33" s="39" t="str">
        <x:v>src/app/corporate/projects/page.tsx; src/app/corporate/funding/page.tsx; src/db/schema.ts</x:v>
      </x:c>
    </x:row>
    <x:row r="34">
      <x:c r="A34" s="42" t="str">
        <x:v>Corporate</x:v>
      </x:c>
      <x:c r="B34" s="54" t="str">
        <x:v>Corporate evidence center and evidence review queue</x:v>
      </x:c>
      <x:c r="C34" s="54" t="str">
        <x:v>/corporate/evidence</x:v>
      </x:c>
      <x:c r="D34" s="54" t="str">
        <x:v>Mostly meets</x:v>
      </x:c>
      <x:c r="E34" s="83" t="str">
        <x:v>Redirect</x:v>
      </x:c>
      <x:c r="F34" s="71" t="str">
        <x:v>No corporate program</x:v>
      </x:c>
      <x:c r="G34" s="71" t="str">
        <x:v>Review/view</x:v>
      </x:c>
      <x:c r="H34" s="71" t="str">
        <x:v>View finance evidence</x:v>
      </x:c>
      <x:c r="I34" s="71" t="str">
        <x:v>View approved</x:v>
      </x:c>
      <x:c r="J34" s="71" t="str">
        <x:v>View participation evidence</x:v>
      </x:c>
      <x:c r="K34" s="54" t="str">
        <x:v>Audit evidence</x:v>
      </x:c>
      <x:c r="L34" s="71" t="str">
        <x:v>No corporate program</x:v>
      </x:c>
      <x:c r="M34" s="87" t="str">
        <x:v>No program unless granted</x:v>
      </x:c>
      <x:c r="N34" s="67" t="str">
        <x:v>Mostly implemented</x:v>
      </x:c>
      <x:c r="O34" s="54" t="str">
        <x:v>Actual reviewer mutations, clarification workflow, reviewer assignment, and immutable audit/version history remain.</x:v>
      </x:c>
      <x:c r="P34" s="54" t="str">
        <x:v>Corporate evidence is visible inside program context; platform evidence verification remains admin-only.</x:v>
      </x:c>
      <x:c r="Q34" s="54" t="str">
        <x:v>references/6. review-corporate-dashboard.md</x:v>
      </x:c>
      <x:c r="R34" s="39" t="str">
        <x:v>src/app/corporate/evidence/page.tsx; src/lib/queries.ts; src/db/schema.ts</x:v>
      </x:c>
    </x:row>
    <x:row r="35">
      <x:c r="A35" s="42" t="str">
        <x:v>Corporate</x:v>
      </x:c>
      <x:c r="B35" s="54" t="str">
        <x:v>Corporate ESG/CSR report workflow: generate, submit, approve, publish, preview, JSON, evidence bundle</x:v>
      </x:c>
      <x:c r="C35" s="54" t="str">
        <x:v>/corporate/reports; /corporate-impact/[publicSlug]; /admin/reports</x:v>
      </x:c>
      <x:c r="D35" s="54" t="str">
        <x:v>Mostly meets</x:v>
      </x:c>
      <x:c r="E35" s="71" t="str">
        <x:v>View public published</x:v>
      </x:c>
      <x:c r="F35" s="71" t="str">
        <x:v>No corporate program</x:v>
      </x:c>
      <x:c r="G35" s="71" t="str">
        <x:v>Generate/submit/approve/publish/preview</x:v>
      </x:c>
      <x:c r="H35" s="71" t="str">
        <x:v>Approve/preview</x:v>
      </x:c>
      <x:c r="I35" s="71" t="str">
        <x:v>Preview approved</x:v>
      </x:c>
      <x:c r="J35" s="71" t="str">
        <x:v>Preview</x:v>
      </x:c>
      <x:c r="K35" s="71" t="str">
        <x:v>Preview/audit</x:v>
      </x:c>
      <x:c r="L35" s="71" t="str">
        <x:v>No corporate program</x:v>
      </x:c>
      <x:c r="M35" s="71" t="str">
        <x:v>View exports in admin</x:v>
      </x:c>
      <x:c r="N35" s="67" t="str">
        <x:v>Mostly implemented</x:v>
      </x:c>
      <x:c r="O35" s="54" t="str">
        <x:v>Production PDF/XLSX outputs, durable object storage, scheduled generation, audit/version history, and broader corporate permission enforcement remain.</x:v>
      </x:c>
      <x:c r="P35" s="54" t="str">
        <x:v>Potential nuance: UI reportCapabilities and action roleCapabilities differ for esg_manager approval; program.manage currently has full report workflow.</x:v>
      </x:c>
      <x:c r="Q35" s="54" t="str">
        <x:v>references/6. review-corporate-dashboard.md; TERUMBU_IMPLEMENTATION_PLAN_COMPARISON.md</x:v>
      </x:c>
      <x:c r="R35" s="39" t="str">
        <x:v>src/app/corporate/reports/page.tsx; src/lib/corporate-actions.ts; src/app/admin/reports/page.tsx</x:v>
      </x:c>
    </x:row>
    <x:row r="36">
      <x:c r="A36" s="42" t="str">
        <x:v>Corporate</x:v>
      </x:c>
      <x:c r="B36" s="54" t="str">
        <x:v>Public corporate impact page for published reports</x:v>
      </x:c>
      <x:c r="C36" s="54" t="str">
        <x:v>/corporate-impact/[publicSlug]</x:v>
      </x:c>
      <x:c r="D36" s="54" t="str">
        <x:v>Mostly meets</x:v>
      </x:c>
      <x:c r="E36" s="71" t="str">
        <x:v>View if published</x:v>
      </x:c>
      <x:c r="F36" s="71" t="str">
        <x:v>View</x:v>
      </x:c>
      <x:c r="G36" s="71" t="str">
        <x:v>Publish/view</x:v>
      </x:c>
      <x:c r="H36" s="71" t="str">
        <x:v>View</x:v>
      </x:c>
      <x:c r="I36" s="71" t="str">
        <x:v>View</x:v>
      </x:c>
      <x:c r="J36" s="71" t="str">
        <x:v>View</x:v>
      </x:c>
      <x:c r="K36" s="71" t="str">
        <x:v>View</x:v>
      </x:c>
      <x:c r="L36" s="71" t="str">
        <x:v>View</x:v>
      </x:c>
      <x:c r="M36" s="71" t="str">
        <x:v>View</x:v>
      </x:c>
      <x:c r="N36" s="67" t="str">
        <x:v>Mostly implemented</x:v>
      </x:c>
      <x:c r="O36" s="54" t="str">
        <x:v>Branded statement editing, richer downloadable formats, and durable report artifact storage remain.</x:v>
      </x:c>
      <x:c r="P36" s="54" t="str">
        <x:v>Publishing is corporate-permission gated; viewing is public once report is published.</x:v>
      </x:c>
      <x:c r="Q36" s="54" t="str">
        <x:v>references/6. review-corporate-dashboard.md; TERUMBU_IMPLEMENTATION_PLAN_COMPARISON.md</x:v>
      </x:c>
      <x:c r="R36" s="39" t="str">
        <x:v>src/app/(public)/corporate-impact/[publicSlug]/page.tsx; src/lib/corporate-actions.ts; src/lib/queries.ts</x:v>
      </x:c>
    </x:row>
    <x:row r="37">
      <x:c r="A37" s="42" t="str">
        <x:v>Corporate</x:v>
      </x:c>
      <x:c r="B37" s="54" t="str">
        <x:v>Corporate employees, events, volunteering, challenges, and donation matching</x:v>
      </x:c>
      <x:c r="C37" s="54" t="str">
        <x:v>/corporate/employees; /corporate#events</x:v>
      </x:c>
      <x:c r="D37" s="54" t="str">
        <x:v>Mostly meets / partial</x:v>
      </x:c>
      <x:c r="E37" s="83" t="str">
        <x:v>Redirect</x:v>
      </x:c>
      <x:c r="F37" s="71" t="str">
        <x:v>No corporate program</x:v>
      </x:c>
      <x:c r="G37" s="71" t="str">
        <x:v>View/manage</x:v>
      </x:c>
      <x:c r="H37" s="71" t="str">
        <x:v>View finance impact</x:v>
      </x:c>
      <x:c r="I37" s="71" t="str">
        <x:v>View summary</x:v>
      </x:c>
      <x:c r="J37" s="71" t="str">
        <x:v>Manage intended</x:v>
      </x:c>
      <x:c r="K37" s="54" t="str">
        <x:v>Audit</x:v>
      </x:c>
      <x:c r="L37" s="71" t="str">
        <x:v>No corporate program</x:v>
      </x:c>
      <x:c r="M37" s="87" t="str">
        <x:v>No program unless granted</x:v>
      </x:c>
      <x:c r="N37" s="75" t="str">
        <x:v>Partial</x:v>
      </x:c>
      <x:c r="O37" s="54" t="str">
        <x:v>Event creation/check-in/waitlist/reminders, eligibility workflows, durable challenge rules, attendance exports, and HR sync remain.</x:v>
      </x:c>
      <x:c r="P37" s="54" t="str">
        <x:v>Employee Engagement Manager is documented in the role matrix, but most mutations are still future work.</x:v>
      </x:c>
      <x:c r="Q37" s="54" t="str">
        <x:v>references/6. review-corporate-dashboard.md; src/lib/queries.ts roleCapabilities</x:v>
      </x:c>
      <x:c r="R37" s="39" t="str">
        <x:v>src/app/corporate/employees/page.tsx; src/app/corporate/settings/page.tsx; src/lib/queries.ts</x:v>
      </x:c>
    </x:row>
    <x:row r="38">
      <x:c r="A38" s="42" t="str">
        <x:v>Corporate</x:v>
      </x:c>
      <x:c r="B38" s="54" t="str">
        <x:v>Corporate team/access settings, role matrix, integrations, and governance checklist</x:v>
      </x:c>
      <x:c r="C38" s="54" t="str">
        <x:v>/corporate/settings</x:v>
      </x:c>
      <x:c r="D38" s="54" t="str">
        <x:v>Mostly meets / partial</x:v>
      </x:c>
      <x:c r="E38" s="83" t="str">
        <x:v>Redirect</x:v>
      </x:c>
      <x:c r="F38" s="71" t="str">
        <x:v>No corporate program</x:v>
      </x:c>
      <x:c r="G38" s="71" t="str">
        <x:v>View/manage intended</x:v>
      </x:c>
      <x:c r="H38" s="71" t="str">
        <x:v>View finance settings</x:v>
      </x:c>
      <x:c r="I38" s="71" t="str">
        <x:v>View</x:v>
      </x:c>
      <x:c r="J38" s="71" t="str">
        <x:v>View</x:v>
      </x:c>
      <x:c r="K38" s="54" t="str">
        <x:v>Audit</x:v>
      </x:c>
      <x:c r="L38" s="71" t="str">
        <x:v>No corporate program</x:v>
      </x:c>
      <x:c r="M38" s="87" t="str">
        <x:v>No program unless granted</x:v>
      </x:c>
      <x:c r="N38" s="75" t="str">
        <x:v>Partial</x:v>
      </x:c>
      <x:c r="O38" s="54" t="str">
        <x:v>Invite/change-role/suspend mutations, SSO/MFA/domain/session enforcement, real connector setup, and retention policy are not implemented.</x:v>
      </x:c>
      <x:c r="P38" s="54" t="str">
        <x:v>Settings currently explains role capabilities and security readiness more than it mutates access.</x:v>
      </x:c>
      <x:c r="Q38" s="54" t="str">
        <x:v>references/6. review-corporate-dashboard.md; src/app/corporate/settings/page.tsx</x:v>
      </x:c>
      <x:c r="R38" s="39" t="str">
        <x:v>src/app/corporate/settings/page.tsx; src/lib/queries.ts; src/db/schema.ts</x:v>
      </x:c>
    </x:row>
    <x:row r="39">
      <x:c r="A39" s="100" t="str">
        <x:v>Auth/RBAC</x:v>
      </x:c>
      <x:c r="B39" s="55" t="str">
        <x:v>Session, role guards, default redirects, and cross-role access guardrails</x:v>
      </x:c>
      <x:c r="C39" s="55" t="str">
        <x:v>/login; /signup; protected layouts</x:v>
      </x:c>
      <x:c r="D39" s="55" t="str">
        <x:v>Mostly implemented</x:v>
      </x:c>
      <x:c r="E39" s="95" t="str">
        <x:v>Login/redirect</x:v>
      </x:c>
      <x:c r="F39" s="95" t="str">
        <x:v>Dashboard default</x:v>
      </x:c>
      <x:c r="G39" s="95" t="str">
        <x:v>Corporate default</x:v>
      </x:c>
      <x:c r="H39" s="95" t="str">
        <x:v>Corporate permission</x:v>
      </x:c>
      <x:c r="I39" s="95" t="str">
        <x:v>Corporate permission</x:v>
      </x:c>
      <x:c r="J39" s="95" t="str">
        <x:v>Corporate permission</x:v>
      </x:c>
      <x:c r="K39" s="95" t="str">
        <x:v>Corporate permission</x:v>
      </x:c>
      <x:c r="L39" s="95" t="str">
        <x:v>Partner default</x:v>
      </x:c>
      <x:c r="M39" s="95" t="str">
        <x:v>Admin default</x:v>
      </x:c>
      <x:c r="N39" s="91" t="str">
        <x:v>Mostly implemented</x:v>
      </x:c>
      <x:c r="O39" s="55" t="str">
        <x:v>E2E reference expects forbidden redirects with ?error=forbidden, while requireRole redirects users to their default authenticated path without that explicit error.</x:v>
      </x:c>
      <x:c r="P39" s="55" t="str">
        <x:v>Roles are user, corporate_admin, partner, admin; corporate_permissions add account-scoped corporate access.</x:v>
      </x:c>
      <x:c r="Q39" s="55" t="str">
        <x:v>references/8. end-to-end-test-case.md; docs/user-guides/*.md; README.md</x:v>
      </x:c>
      <x:c r="R39" s="45" t="str">
        <x:v>src/lib/auth.ts; src/lib/account-destinations.ts; src/app/admin/layout.tsx; src/app/partner/layout.tsx; src/app/corporate/layout.tsx</x:v>
      </x:c>
    </x:row>
  </x:sheetData>
  <x:mergeCells>
    <x:mergeCell ref="A1:R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24" hidden="0" customWidth="1"/>
    <x:col min="4" max="4" width="20" hidden="0" customWidth="1"/>
    <x:col min="5" max="5" width="72" hidden="0" customWidth="1"/>
    <x:col min="6" max="6" width="42" hidden="0" customWidth="1"/>
  </x:cols>
  <x:sheetData>
    <x:row r="1">
      <x:c r="A1" s="4" t="str">
        <x:v>Role Definitions</x:v>
      </x:c>
    </x:row>
    <x:row r="2">
      <x:c r="A2" s="6" t="str">
        <x:v>Top-level roles come from roles/user_roles; corporate sub-roles are account-scoped permissions.</x:v>
      </x:c>
    </x:row>
    <x:row r="4">
      <x:c r="A4" s="12" t="str">
        <x:v>Role column</x:v>
      </x:c>
      <x:c r="B4" s="12" t="str">
        <x:v>Key / permission</x:v>
      </x:c>
      <x:c r="C4" s="12" t="str">
        <x:v>Role type</x:v>
      </x:c>
      <x:c r="D4" s="12" t="str">
        <x:v>Start URL</x:v>
      </x:c>
      <x:c r="E4" s="12" t="str">
        <x:v>Allowed use</x:v>
      </x:c>
      <x:c r="F4" s="12" t="str">
        <x:v>Source</x:v>
      </x:c>
    </x:row>
    <x:row r="5">
      <x:c r="A5" s="36" t="str">
        <x:v>Guest</x:v>
      </x:c>
      <x:c r="B5" s="53" t="str">
        <x:v>none</x:v>
      </x:c>
      <x:c r="C5" s="53" t="str">
        <x:v>No account</x:v>
      </x:c>
      <x:c r="D5" s="53" t="str">
        <x:v>/</x:v>
      </x:c>
      <x:c r="E5" s="53" t="str">
        <x:v>Can browse public pages and use public checkout. Protected areas redirect to login.</x:v>
      </x:c>
      <x:c r="F5" s="37" t="str">
        <x:v>references/8. end-to-end-test-case.md</x:v>
      </x:c>
    </x:row>
    <x:row r="6">
      <x:c r="A6" s="38" t="str">
        <x:v>User</x:v>
      </x:c>
      <x:c r="B6" s="54" t="str">
        <x:v>role=user</x:v>
      </x:c>
      <x:c r="C6" s="54" t="str">
        <x:v>Public supporter</x:v>
      </x:c>
      <x:c r="D6" s="54" t="str">
        <x:v>/dashboard</x:v>
      </x:c>
      <x:c r="E6" s="54" t="str">
        <x:v>Donations, expeditions, Academy learning, personal dashboard, own Impact Passport, own billing/refund requests.</x:v>
      </x:c>
      <x:c r="F6" s="39" t="str">
        <x:v>docs/user-guides/user.md; scripts/seed-role-users.ts</x:v>
      </x:c>
    </x:row>
    <x:row r="7">
      <x:c r="A7" s="38" t="str">
        <x:v>Corporate Admin / ESG Manager</x:v>
      </x:c>
      <x:c r="B7" s="54" t="str">
        <x:v>role=corporate_admin; permission=program.manage or esg_manager</x:v>
      </x:c>
      <x:c r="C7" s="54" t="str">
        <x:v>Corporate program manager</x:v>
      </x:c>
      <x:c r="D7" s="54" t="str">
        <x:v>/corporate</x:v>
      </x:c>
      <x:c r="E7" s="54" t="str">
        <x:v>Can access corporate workspace. program.manage seed has full report flow; esg_manager is documented for generate/submit/publish.</x:v>
      </x:c>
      <x:c r="F7" s="39" t="str">
        <x:v>docs/user-guides/corporate-admin.md; src/lib/queries.ts; src/lib/corporate-actions.ts</x:v>
      </x:c>
    </x:row>
    <x:row r="8">
      <x:c r="A8" s="38" t="str">
        <x:v>Finance Reviewer</x:v>
      </x:c>
      <x:c r="B8" s="54" t="str">
        <x:v>permission=finance_reviewer</x:v>
      </x:c>
      <x:c r="C8" s="54" t="str">
        <x:v>Corporate sub-role</x:v>
      </x:c>
      <x:c r="D8" s="54" t="str">
        <x:v>/corporate</x:v>
      </x:c>
      <x:c r="E8" s="54" t="str">
        <x:v>Review funding/utilization and approve/preview reports.</x:v>
      </x:c>
      <x:c r="F8" s="39" t="str">
        <x:v>src/lib/queries.ts; src/lib/corporate-actions.ts</x:v>
      </x:c>
    </x:row>
    <x:row r="9">
      <x:c r="A9" s="38" t="str">
        <x:v>Executive Viewer</x:v>
      </x:c>
      <x:c r="B9" s="54" t="str">
        <x:v>permission=executive_viewer</x:v>
      </x:c>
      <x:c r="C9" s="54" t="str">
        <x:v>Corporate sub-role</x:v>
      </x:c>
      <x:c r="D9" s="54" t="str">
        <x:v>/corporate</x:v>
      </x:c>
      <x:c r="E9" s="54" t="str">
        <x:v>View KPIs, portfolio progress, major risks, and approved/public report outputs.</x:v>
      </x:c>
      <x:c r="F9" s="39" t="str">
        <x:v>src/lib/queries.ts</x:v>
      </x:c>
    </x:row>
    <x:row r="10">
      <x:c r="A10" s="38" t="str">
        <x:v>Employee Engagement</x:v>
      </x:c>
      <x:c r="B10" s="54" t="str">
        <x:v>permission=employee_engagement</x:v>
      </x:c>
      <x:c r="C10" s="54" t="str">
        <x:v>Corporate sub-role</x:v>
      </x:c>
      <x:c r="D10" s="54" t="str">
        <x:v>/corporate/employees</x:v>
      </x:c>
      <x:c r="E10" s="54" t="str">
        <x:v>Intended for events, employee participation, challenges, and attendance exports. Mutations remain shallow.</x:v>
      </x:c>
      <x:c r="F10" s="39" t="str">
        <x:v>src/lib/queries.ts; references/6. review-corporate-dashboard.md</x:v>
      </x:c>
    </x:row>
    <x:row r="11">
      <x:c r="A11" s="38" t="str">
        <x:v>Auditor</x:v>
      </x:c>
      <x:c r="B11" s="54" t="str">
        <x:v>permission=auditor</x:v>
      </x:c>
      <x:c r="C11" s="54" t="str">
        <x:v>Corporate sub-role</x:v>
      </x:c>
      <x:c r="D11" s="54" t="str">
        <x:v>/corporate/evidence</x:v>
      </x:c>
      <x:c r="E11" s="54" t="str">
        <x:v>Read approved evidence, financial summaries, methodology, and report previews.</x:v>
      </x:c>
      <x:c r="F11" s="39" t="str">
        <x:v>src/lib/queries.ts; src/lib/corporate-actions.ts</x:v>
      </x:c>
    </x:row>
    <x:row r="12">
      <x:c r="A12" s="38" t="str">
        <x:v>Partner</x:v>
      </x:c>
      <x:c r="B12" s="54" t="str">
        <x:v>role=partner</x:v>
      </x:c>
      <x:c r="C12" s="54" t="str">
        <x:v>Conservation partner</x:v>
      </x:c>
      <x:c r="D12" s="54" t="str">
        <x:v>/partner</x:v>
      </x:c>
      <x:c r="E12" s="54" t="str">
        <x:v>Own-organization campaign activity, evidence submission, campaign drafts/review records, and expedition content management.</x:v>
      </x:c>
      <x:c r="F12" s="39" t="str">
        <x:v>docs/user-guides/partner.md; src/app/partner/layout.tsx</x:v>
      </x:c>
    </x:row>
    <x:row r="13">
      <x:c r="A13" s="44" t="str">
        <x:v>Admin</x:v>
      </x:c>
      <x:c r="B13" s="55" t="str">
        <x:v>role=admin</x:v>
      </x:c>
      <x:c r="C13" s="55" t="str">
        <x:v>Platform administrator</x:v>
      </x:c>
      <x:c r="D13" s="55" t="str">
        <x:v>/admin</x:v>
      </x:c>
      <x:c r="E13" s="55" t="str">
        <x:v>Admin-only operations: campaigns, expeditions, partners, evidence verification, payments reconciliation, users, reports, audit. Can inspect partner portal.</x:v>
      </x:c>
      <x:c r="F13" s="45" t="str">
        <x:v>docs/user-guides/admin.md; src/app/admin/layout.tsx; src/app/partner/layout.tsx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2" hidden="0" customWidth="1"/>
    <x:col min="3" max="3" width="92" hidden="0" customWidth="1"/>
  </x:cols>
  <x:sheetData>
    <x:row r="1">
      <x:c r="A1" s="4" t="str">
        <x:v>Sources Used</x:v>
      </x:c>
    </x:row>
    <x:row r="2">
      <x:c r="A2" s="6" t="str">
        <x:v>Local reference and implementation files used to compile the RBAC workbook.</x:v>
      </x:c>
    </x:row>
    <x:row r="4">
      <x:c r="A4" s="12" t="str">
        <x:v>Source</x:v>
      </x:c>
      <x:c r="B4" s="12" t="str">
        <x:v>Type</x:v>
      </x:c>
      <x:c r="C4" s="12" t="str">
        <x:v>Used for</x:v>
      </x:c>
    </x:row>
    <x:row r="5">
      <x:c r="A5" s="36" t="str">
        <x:v>references/8. end-to-end-test-case.md</x:v>
      </x:c>
      <x:c r="B5" s="53" t="str">
        <x:v>Reference</x:v>
      </x:c>
      <x:c r="C5" s="37" t="str">
        <x:v>Primary cross-role access matrix, demo role purposes, and QA guardrails.</x:v>
      </x:c>
    </x:row>
    <x:row r="6">
      <x:c r="A6" s="38" t="str">
        <x:v>DEVELOPMENT_PLAN.md</x:v>
      </x:c>
      <x:c r="B6" s="54" t="str">
        <x:v>Reference</x:v>
      </x:c>
      <x:c r="C6" s="39" t="str">
        <x:v>Product areas, route map, corporate role-permission goals, admin capabilities, and security requirements.</x:v>
      </x:c>
    </x:row>
    <x:row r="7">
      <x:c r="A7" s="38" t="str">
        <x:v>TERUMBU_IMPLEMENTATION_PLAN_COMPARISON.md</x:v>
      </x:c>
      <x:c r="B7" s="54" t="str">
        <x:v>Reference</x:v>
      </x:c>
      <x:c r="C7" s="39" t="str">
        <x:v>Current implementation status and remaining production gaps.</x:v>
      </x:c>
    </x:row>
    <x:row r="8">
      <x:c r="A8" s="38" t="str">
        <x:v>references/1. review-homapage.md</x:v>
      </x:c>
      <x:c r="B8" s="54" t="str">
        <x:v>Reference review</x:v>
      </x:c>
      <x:c r="C8" s="39" t="str">
        <x:v>Homepage feature status and gaps.</x:v>
      </x:c>
    </x:row>
    <x:row r="9">
      <x:c r="A9" s="38" t="str">
        <x:v>references/2. review-campaign-detail.md</x:v>
      </x:c>
      <x:c r="B9" s="54" t="str">
        <x:v>Reference review</x:v>
      </x:c>
      <x:c r="C9" s="39" t="str">
        <x:v>Campaign detail, donation, monthly contribution, sponsor-coral, evidence, and campaign page gaps.</x:v>
      </x:c>
    </x:row>
    <x:row r="10">
      <x:c r="A10" s="38" t="str">
        <x:v>references/3. review-user-dashboard.md</x:v>
      </x:c>
      <x:c r="B10" s="54" t="str">
        <x:v>Reference review</x:v>
      </x:c>
      <x:c r="C10" s="39" t="str">
        <x:v>Dashboard, personal impact, billing/reporting, notifications, and dashboard gap status.</x:v>
      </x:c>
    </x:row>
    <x:row r="11">
      <x:c r="A11" s="38" t="str">
        <x:v>references/4. review-trip-detail.md</x:v>
      </x:c>
      <x:c r="B11" s="54" t="str">
        <x:v>Reference review</x:v>
      </x:c>
      <x:c r="C11" s="39" t="str">
        <x:v>Expedition detail, booking, partner-managed trip content, and checkout gaps.</x:v>
      </x:c>
    </x:row>
    <x:row r="12">
      <x:c r="A12" s="38" t="str">
        <x:v>references/5. review-impact-passport.md</x:v>
      </x:c>
      <x:c r="B12" s="54" t="str">
        <x:v>Reference review</x:v>
      </x:c>
      <x:c r="C12" s="39" t="str">
        <x:v>Owner/public passport features, privacy controls, and export gaps.</x:v>
      </x:c>
    </x:row>
    <x:row r="13">
      <x:c r="A13" s="38" t="str">
        <x:v>references/6. review-corporate-dashboard.md</x:v>
      </x:c>
      <x:c r="B13" s="54" t="str">
        <x:v>Reference review</x:v>
      </x:c>
      <x:c r="C13" s="39" t="str">
        <x:v>Corporate dashboard, report workflow, role-based access, team settings, and corporate gaps.</x:v>
      </x:c>
    </x:row>
    <x:row r="14">
      <x:c r="A14" s="38" t="str">
        <x:v>references/7. review-academy.md</x:v>
      </x:c>
      <x:c r="B14" s="54" t="str">
        <x:v>Reference review</x:v>
      </x:c>
      <x:c r="C14" s="39" t="str">
        <x:v>Academy catalog, course detail, progress, certificates, assignments, and learning gaps.</x:v>
      </x:c>
    </x:row>
    <x:row r="15">
      <x:c r="A15" s="38" t="str">
        <x:v>docs/user-guides/user.md</x:v>
      </x:c>
      <x:c r="B15" s="54" t="str">
        <x:v>Role guide</x:v>
      </x:c>
      <x:c r="C15" s="39" t="str">
        <x:v>User demo role purpose and validation checklist.</x:v>
      </x:c>
    </x:row>
    <x:row r="16">
      <x:c r="A16" s="38" t="str">
        <x:v>docs/user-guides/corporate-admin.md</x:v>
      </x:c>
      <x:c r="B16" s="54" t="str">
        <x:v>Role guide</x:v>
      </x:c>
      <x:c r="C16" s="39" t="str">
        <x:v>Corporate demo role, program.manage seed context, and corporate validation checklist.</x:v>
      </x:c>
    </x:row>
    <x:row r="17">
      <x:c r="A17" s="38" t="str">
        <x:v>docs/user-guides/partner.md</x:v>
      </x:c>
      <x:c r="B17" s="54" t="str">
        <x:v>Role guide</x:v>
      </x:c>
      <x:c r="C17" s="39" t="str">
        <x:v>Partner demo role, access expectations, and evidence workflow.</x:v>
      </x:c>
    </x:row>
    <x:row r="18">
      <x:c r="A18" s="38" t="str">
        <x:v>docs/user-guides/admin.md</x:v>
      </x:c>
      <x:c r="B18" s="54" t="str">
        <x:v>Role guide</x:v>
      </x:c>
      <x:c r="C18" s="39" t="str">
        <x:v>Admin demo role, operations areas, and validation checklist.</x:v>
      </x:c>
    </x:row>
    <x:row r="19">
      <x:c r="A19" s="38" t="str">
        <x:v>src/lib/auth.ts</x:v>
      </x:c>
      <x:c r="B19" s="54" t="str">
        <x:v>Implementation</x:v>
      </x:c>
      <x:c r="C19" s="39" t="str">
        <x:v>requireUser, getUserRoles, getDefaultAuthenticatedPath, and requireRole guards.</x:v>
      </x:c>
    </x:row>
    <x:row r="20">
      <x:c r="A20" s="38" t="str">
        <x:v>src/lib/account-destinations.ts</x:v>
      </x:c>
      <x:c r="B20" s="54" t="str">
        <x:v>Implementation</x:v>
      </x:c>
      <x:c r="C20" s="39" t="str">
        <x:v>Default landing route by top-level role and corporate access.</x:v>
      </x:c>
    </x:row>
    <x:row r="21">
      <x:c r="A21" s="38" t="str">
        <x:v>src/app/admin/layout.tsx</x:v>
      </x:c>
      <x:c r="B21" s="54" t="str">
        <x:v>Implementation</x:v>
      </x:c>
      <x:c r="C21" s="39" t="str">
        <x:v>Admin layout requires admin role.</x:v>
      </x:c>
    </x:row>
    <x:row r="22">
      <x:c r="A22" s="38" t="str">
        <x:v>src/app/partner/layout.tsx</x:v>
      </x:c>
      <x:c r="B22" s="54" t="str">
        <x:v>Implementation</x:v>
      </x:c>
      <x:c r="C22" s="39" t="str">
        <x:v>Partner layout allows partner and admin roles.</x:v>
      </x:c>
    </x:row>
    <x:row r="23">
      <x:c r="A23" s="38" t="str">
        <x:v>src/app/corporate/layout.tsx</x:v>
      </x:c>
      <x:c r="B23" s="54" t="str">
        <x:v>Implementation</x:v>
      </x:c>
      <x:c r="C23" s="39" t="str">
        <x:v>Corporate layout requires login and corporate dashboard data/program context.</x:v>
      </x:c>
    </x:row>
    <x:row r="24">
      <x:c r="A24" s="38" t="str">
        <x:v>src/lib/corporate-actions.ts</x:v>
      </x:c>
      <x:c r="B24" s="54" t="str">
        <x:v>Implementation</x:v>
      </x:c>
      <x:c r="C24" s="39" t="str">
        <x:v>Report action permission checks for generate, submit, approve, and publish.</x:v>
      </x:c>
    </x:row>
    <x:row r="25">
      <x:c r="A25" s="38" t="str">
        <x:v>src/lib/queries.ts</x:v>
      </x:c>
      <x:c r="B25" s="54" t="str">
        <x:v>Implementation</x:v>
      </x:c>
      <x:c r="C25" s="39" t="str">
        <x:v>Corporate role capabilities, report capabilities, dashboard data, and public passport/corporate data shaping.</x:v>
      </x:c>
    </x:row>
    <x:row r="26">
      <x:c r="A26" s="38" t="str">
        <x:v>src/lib/portal-actions.ts</x:v>
      </x:c>
      <x:c r="B26" s="54" t="str">
        <x:v>Implementation</x:v>
      </x:c>
      <x:c r="C26" s="39" t="str">
        <x:v>Admin and partner server actions with role guards.</x:v>
      </x:c>
    </x:row>
    <x:row r="27">
      <x:c r="A27" s="38" t="str">
        <x:v>src/lib/checkout-actions.ts</x:v>
      </x:c>
      <x:c r="B27" s="54" t="str">
        <x:v>Implementation</x:v>
      </x:c>
      <x:c r="C27" s="39" t="str">
        <x:v>Donation and expedition checkout actions.</x:v>
      </x:c>
    </x:row>
    <x:row r="28">
      <x:c r="A28" s="38" t="str">
        <x:v>src/lib/billing-actions.ts</x:v>
      </x:c>
      <x:c r="B28" s="54" t="str">
        <x:v>Implementation</x:v>
      </x:c>
      <x:c r="C28" s="39" t="str">
        <x:v>Authenticated billing, refund, payment method, subscription retry/cancel actions.</x:v>
      </x:c>
    </x:row>
    <x:row r="29">
      <x:c r="A29" s="38" t="str">
        <x:v>src/lib/academy-actions.ts</x:v>
      </x:c>
      <x:c r="B29" s="54" t="str">
        <x:v>Implementation</x:v>
      </x:c>
      <x:c r="C29" s="39" t="str">
        <x:v>Authenticated enrollment, lesson completion, assessment submission.</x:v>
      </x:c>
    </x:row>
    <x:row r="30">
      <x:c r="A30" s="38" t="str">
        <x:v>scripts/seed-role-users.ts</x:v>
      </x:c>
      <x:c r="B30" s="54" t="str">
        <x:v>Implementation</x:v>
      </x:c>
      <x:c r="C30" s="39" t="str">
        <x:v>Seeded user, corporate_admin, partner, admin demo accounts and corporate permission program.manage.</x:v>
      </x:c>
    </x:row>
    <x:row r="31">
      <x:c r="A31" s="44" t="str">
        <x:v>README.md</x:v>
      </x:c>
      <x:c r="B31" s="55" t="str">
        <x:v>Reference</x:v>
      </x:c>
      <x:c r="C31" s="45" t="str">
        <x:v>Schema inventory including roles, user_roles, organization_users, corporate_permissions, reports, evidence, and audit logs.</x:v>
      </x:c>
    </x:row>
  </x:sheetData>
  <x:mergeCells>
    <x:mergeCell ref="A1:C1"/>
  </x:mergeCells>
  <x:pageMargins left="0.7" right="0.7" top="0.75" bottom="0.75" header="0.3" footer="0.3"/>
</x:worksheet>
</file>